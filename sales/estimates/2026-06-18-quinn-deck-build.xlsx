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Input" sheetId="1" state="visible" r:id="rId1"/>
    <sheet xmlns:r="http://schemas.openxmlformats.org/officeDocument/2006/relationships" name="Pricing DB" sheetId="2" state="visible" r:id="rId2"/>
    <sheet xmlns:r="http://schemas.openxmlformats.org/officeDocument/2006/relationships" name="Project Type Behavior" sheetId="3" state="visible" r:id="rId3"/>
    <sheet xmlns:r="http://schemas.openxmlformats.org/officeDocument/2006/relationships" name="Materials List" sheetId="4" state="visible" r:id="rId4"/>
    <sheet xmlns:r="http://schemas.openxmlformats.org/officeDocument/2006/relationships" name="Estimate Summary" sheetId="5" state="visible" r:id="rId5"/>
    <sheet xmlns:r="http://schemas.openxmlformats.org/officeDocument/2006/relationships" name="Client Range" sheetId="6" state="visible" r:id="rId6"/>
    <sheet xmlns:r="http://schemas.openxmlformats.org/officeDocument/2006/relationships" name="Scope Builder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0.00&quot;x&quot;"/>
    <numFmt numFmtId="168" formatCode="0.000&quot;x&quot;"/>
  </numFmts>
  <fonts count="16">
    <font>
      <name val="Calibri"/>
      <family val="2"/>
      <color theme="1"/>
      <sz val="11"/>
      <scheme val="minor"/>
    </font>
    <font>
      <name val="Calibri"/>
      <b val="1"/>
      <color rgb="00E54C00"/>
      <sz val="18"/>
    </font>
    <font>
      <name val="Calibri"/>
      <i val="1"/>
      <color rgb="0064676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323434"/>
      <sz val="10"/>
    </font>
    <font>
      <name val="Calibri"/>
      <b val="1"/>
      <color rgb="00646760"/>
      <sz val="12"/>
    </font>
    <font>
      <name val="Calibri"/>
      <b val="1"/>
      <color rgb="00E54C00"/>
      <sz val="22"/>
    </font>
    <font>
      <name val="Calibri"/>
      <color rgb="00646760"/>
      <sz val="10"/>
    </font>
    <font>
      <name val="Calibri"/>
      <b val="1"/>
      <color rgb="00323434"/>
      <sz val="11"/>
    </font>
    <font>
      <name val="Calibri"/>
      <b val="1"/>
      <color rgb="00323434"/>
      <sz val="10"/>
    </font>
    <font>
      <name val="Calibri"/>
      <b val="1"/>
      <color rgb="00E54C00"/>
      <sz val="12"/>
    </font>
    <font>
      <name val="Calibri"/>
      <b val="1"/>
      <color rgb="00646760"/>
      <sz val="10"/>
    </font>
    <font>
      <name val="Calibri"/>
      <i val="1"/>
      <color rgb="00646760"/>
      <sz val="9"/>
    </font>
    <font>
      <name val="Calibri"/>
      <b val="1"/>
      <color rgb="00E54C00"/>
      <sz val="14"/>
    </font>
    <font>
      <name val="Calibri"/>
      <b val="1"/>
      <color rgb="00E54C00"/>
      <sz val="10"/>
    </font>
  </fonts>
  <fills count="8">
    <fill>
      <patternFill/>
    </fill>
    <fill>
      <patternFill patternType="gray125"/>
    </fill>
    <fill>
      <patternFill patternType="solid">
        <fgColor rgb="00E54C00"/>
      </patternFill>
    </fill>
    <fill>
      <patternFill patternType="solid">
        <fgColor rgb="00323434"/>
      </patternFill>
    </fill>
    <fill>
      <patternFill patternType="solid">
        <fgColor rgb="00EFEFEF"/>
      </patternFill>
    </fill>
    <fill>
      <patternFill patternType="solid">
        <fgColor rgb="00FFF8DC"/>
      </patternFill>
    </fill>
    <fill>
      <patternFill patternType="solid">
        <fgColor rgb="00F4F4F4"/>
      </patternFill>
    </fill>
    <fill>
      <patternFill patternType="solid">
        <fgColor rgb="00F7F4F1"/>
      </patternFill>
    </fill>
  </fills>
  <borders count="3">
    <border>
      <left/>
      <right/>
      <top/>
      <bottom/>
      <diagonal/>
    </border>
    <border>
      <left style="thin">
        <color rgb="00646760"/>
      </left>
      <right style="thin">
        <color rgb="00646760"/>
      </right>
      <top style="thin">
        <color rgb="00646760"/>
      </top>
      <bottom style="thin">
        <color rgb="00646760"/>
      </bottom>
    </border>
    <border>
      <left style="hair">
        <color rgb="00646760"/>
      </left>
      <right style="hair">
        <color rgb="00646760"/>
      </right>
      <top style="hair">
        <color rgb="00646760"/>
      </top>
      <bottom style="hair">
        <color rgb="0064676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7" fontId="2" fillId="6" borderId="2" applyAlignment="1" pivotButton="0" quotePrefix="0" xfId="0">
      <alignment horizontal="right" vertical="center"/>
    </xf>
    <xf numFmtId="1" fontId="5" fillId="5" borderId="1" applyAlignment="1" pivotButton="0" quotePrefix="0" xfId="0">
      <alignment horizontal="left" vertical="center"/>
    </xf>
    <xf numFmtId="0" fontId="5" fillId="0" borderId="0" pivotButton="0" quotePrefix="0" xfId="0"/>
    <xf numFmtId="168" fontId="2" fillId="6" borderId="2" applyAlignment="1" pivotButton="0" quotePrefix="0" xfId="0">
      <alignment horizontal="right" vertical="center"/>
    </xf>
    <xf numFmtId="1" fontId="10" fillId="6" borderId="0" pivotButton="0" quotePrefix="0" xfId="0"/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0" fontId="12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7" fontId="5" fillId="5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10" fillId="0" borderId="0" pivotButton="0" quotePrefix="0" xfId="0"/>
    <xf numFmtId="1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9" fillId="0" borderId="0" pivotButton="0" quotePrefix="0" xfId="0"/>
    <xf numFmtId="164" fontId="14" fillId="7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top" wrapText="1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10" fillId="0" borderId="0" applyAlignment="1" pivotButton="0" quotePrefix="0" xfId="0">
      <alignment horizontal="left" vertical="top" wrapText="1"/>
    </xf>
    <xf numFmtId="164" fontId="7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54C00"/>
    <outlinePr summaryBelow="1" summaryRight="1"/>
    <pageSetUpPr/>
  </sheetPr>
  <dimension ref="A1:F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28" customWidth="1" min="4" max="4"/>
    <col width="18" customWidth="1" min="5" max="5"/>
    <col width="22" customWidth="1" min="6" max="6"/>
  </cols>
  <sheetData>
    <row r="1" ht="28" customHeight="1">
      <c r="A1" s="1" t="inlineStr">
        <is>
          <t>CWDB Deck Project Quote</t>
        </is>
      </c>
    </row>
    <row r="2" ht="34" customHeight="1">
      <c r="A2" s="2" t="inlineStr">
        <is>
          <t>Sell Price</t>
        </is>
      </c>
      <c r="C2" s="49">
        <f>E40</f>
        <v/>
      </c>
    </row>
    <row r="3">
      <c r="A3" s="4" t="inlineStr">
        <is>
          <t>Range (low - high)</t>
        </is>
      </c>
      <c r="C3" s="5">
        <f>TEXT(E41,"$#,##0")&amp;" - "&amp;TEXT(E42,"$#,##0")</f>
        <v/>
      </c>
    </row>
    <row r="4">
      <c r="A4" s="4" t="inlineStr">
        <is>
          <t>Sell Price / SF</t>
        </is>
      </c>
      <c r="C4" s="50">
        <f>IFERROR(E43, 0)</f>
        <v/>
      </c>
    </row>
    <row r="6" ht="22" customHeight="1">
      <c r="A6" s="7" t="inlineStr">
        <is>
          <t>Project Info</t>
        </is>
      </c>
      <c r="D6" s="7" t="inlineStr">
        <is>
          <t>Cost Components</t>
        </is>
      </c>
    </row>
    <row r="7">
      <c r="A7" s="8" t="inlineStr">
        <is>
          <t>Client Name</t>
        </is>
      </c>
      <c r="B7" s="9" t="inlineStr">
        <is>
          <t>Thomas Quinn</t>
        </is>
      </c>
      <c r="D7" s="10" t="inlineStr">
        <is>
          <t>Framing $/SF</t>
        </is>
      </c>
      <c r="E7" s="51">
        <f>IFERROR(INDEX('Pricing DB'!$B$35:$B$36, MATCH(B23, 'Pricing DB'!$A$35:$A$36, 0)), 0)</f>
        <v/>
      </c>
    </row>
    <row r="8">
      <c r="A8" s="8" t="inlineStr">
        <is>
          <t>Project Address</t>
        </is>
      </c>
      <c r="B8" s="9" t="inlineStr">
        <is>
          <t>10186 County Road Mm, 54407</t>
        </is>
      </c>
      <c r="D8" s="10" t="inlineStr">
        <is>
          <t>Decking $/SF</t>
        </is>
      </c>
      <c r="E8" s="51">
        <f>IFERROR(INDEX('Pricing DB'!$B$7:$B$19, MATCH(B21, 'Pricing DB'!$A$7:$A$19, 0)), 0)</f>
        <v/>
      </c>
    </row>
    <row r="9">
      <c r="A9" s="8" t="inlineStr">
        <is>
          <t>Estimator</t>
        </is>
      </c>
      <c r="B9" s="9" t="inlineStr">
        <is>
          <t>James Slogar</t>
        </is>
      </c>
      <c r="D9" s="8" t="inlineStr">
        <is>
          <t>Decking Waste %</t>
        </is>
      </c>
      <c r="E9" s="52">
        <f>IFERROR(INDEX('Pricing DB'!$D$7:$D$19, MATCH(B21, 'Pricing DB'!$A$7:$A$19, 0)), 0)</f>
        <v/>
      </c>
    </row>
    <row r="10">
      <c r="A10" s="8" t="inlineStr">
        <is>
          <t>Quote Date</t>
        </is>
      </c>
      <c r="B10" s="9" t="inlineStr">
        <is>
          <t>2026-06-18</t>
        </is>
      </c>
      <c r="D10" s="10" t="inlineStr">
        <is>
          <t>Railing $/LF</t>
        </is>
      </c>
      <c r="E10" s="53">
        <f>IFERROR(INDEX('Pricing DB'!$B$23:$B$31, MATCH(B22, 'Pricing DB'!$A$23:$A$31, 0)), 0)</f>
        <v/>
      </c>
    </row>
    <row r="12" ht="22" customHeight="1">
      <c r="A12" s="7" t="inlineStr">
        <is>
          <t>Project Type</t>
        </is>
      </c>
      <c r="D12" s="7" t="inlineStr">
        <is>
          <t>Multipliers</t>
        </is>
      </c>
    </row>
    <row r="13">
      <c r="A13" s="8" t="inlineStr">
        <is>
          <t>Project Type</t>
        </is>
      </c>
      <c r="B13" s="9" t="inlineStr">
        <is>
          <t>Full Tear-Out + New Build</t>
        </is>
      </c>
      <c r="D13" s="8" t="inlineStr">
        <is>
          <t>Height multiplier</t>
        </is>
      </c>
      <c r="E13" s="14">
        <f>IFERROR(INDEX('Pricing DB'!$B$64:$B$65, MATCH(B26, 'Pricing DB'!$A$64:$A$65, 0)), 1)</f>
        <v/>
      </c>
    </row>
    <row r="14">
      <c r="D14" s="8" t="inlineStr">
        <is>
          <t>Grade multiplier</t>
        </is>
      </c>
      <c r="E14" s="14">
        <f>IFERROR(INDEX('Pricing DB'!$B$68:$B$70, MATCH(B27, 'Pricing DB'!$A$68:$A$70, 0)), 1)</f>
        <v/>
      </c>
    </row>
    <row r="15" ht="22" customHeight="1">
      <c r="A15" s="7" t="inlineStr">
        <is>
          <t>Dimensions</t>
        </is>
      </c>
      <c r="D15" s="8" t="inlineStr">
        <is>
          <t>Complexity multiplier</t>
        </is>
      </c>
      <c r="E15" s="14">
        <f>IFERROR(INDEX('Pricing DB'!$B$73:$B$75, MATCH(B28, 'Pricing DB'!$A$73:$A$75, 0)), 1)</f>
        <v/>
      </c>
    </row>
    <row r="16">
      <c r="A16" s="8" t="inlineStr">
        <is>
          <t>Deck Length</t>
        </is>
      </c>
      <c r="B16" s="15" t="n">
        <v>16</v>
      </c>
      <c r="C16" s="16" t="inlineStr">
        <is>
          <t>feet</t>
        </is>
      </c>
      <c r="D16" s="8" t="inlineStr">
        <is>
          <t>Market multiplier</t>
        </is>
      </c>
      <c r="E16" s="14">
        <f>IFERROR(INDEX('Pricing DB'!$B$78:$B$80, MATCH(B29, 'Pricing DB'!$A$78:$A$80, 0)), 1)</f>
        <v/>
      </c>
    </row>
    <row r="17">
      <c r="A17" s="8" t="inlineStr">
        <is>
          <t>Deck Depth</t>
        </is>
      </c>
      <c r="B17" s="15" t="n">
        <v>8</v>
      </c>
      <c r="C17" s="16" t="inlineStr">
        <is>
          <t>feet</t>
        </is>
      </c>
      <c r="D17" s="10" t="inlineStr">
        <is>
          <t>Combined multiplier</t>
        </is>
      </c>
      <c r="E17" s="17">
        <f>IF(INDEX('Project Type Behavior'!$I$4:$I$10, MATCH(B13, 'Project Type Behavior'!$A$4:$A$10, 0))="N", 1, IF(INDEX('Project Type Behavior'!$I$4:$I$10, MATCH(B13, 'Project Type Behavior'!$A$4:$A$10, 0))="Light", E13*E14, E13*E14*E15*E16))</f>
        <v/>
      </c>
    </row>
    <row r="18">
      <c r="A18" s="8" t="inlineStr">
        <is>
          <t>Deck SF (calc)</t>
        </is>
      </c>
      <c r="B18" s="18">
        <f>B16*B17</f>
        <v/>
      </c>
      <c r="C18" s="16" t="inlineStr">
        <is>
          <t>sq ft</t>
        </is>
      </c>
    </row>
    <row r="19" ht="22" customHeight="1">
      <c r="D19" s="7" t="inlineStr">
        <is>
          <t>Line Items</t>
        </is>
      </c>
    </row>
    <row r="20" ht="22" customHeight="1">
      <c r="A20" s="7" t="inlineStr">
        <is>
          <t>Materials</t>
        </is>
      </c>
      <c r="D20" s="8" t="inlineStr">
        <is>
          <t>Base Package</t>
        </is>
      </c>
      <c r="E20" s="53">
        <f>B18*(IF(INDEX('Project Type Behavior'!$C$4:$C$10, MATCH(B13, 'Project Type Behavior'!$A$4:$A$10, 0))="Y", E7, 0) + IF(INDEX('Project Type Behavior'!$D$4:$D$10, MATCH(B13, 'Project Type Behavior'!$A$4:$A$10, 0))="Y", E8*(1+E9), 0))*E17</f>
        <v/>
      </c>
    </row>
    <row r="21">
      <c r="A21" s="8" t="inlineStr">
        <is>
          <t>Decking Material</t>
        </is>
      </c>
      <c r="B21" s="9" t="inlineStr">
        <is>
          <t>Pressure-Treated Pine</t>
        </is>
      </c>
      <c r="D21" s="8" t="inlineStr">
        <is>
          <t>Demo</t>
        </is>
      </c>
      <c r="E21" s="53">
        <f>IF(INDEX('Project Type Behavior'!$B$4:$B$10, MATCH(B13, 'Project Type Behavior'!$A$4:$A$10, 0))="N", 0, B18*IFERROR(INDEX('Pricing DB'!$B$40:$B$46, MATCH(B13, 'Pricing DB'!$A$40:$A$46, 0)), 0))</f>
        <v/>
      </c>
    </row>
    <row r="22">
      <c r="A22" s="8" t="inlineStr">
        <is>
          <t>Railing Material</t>
        </is>
      </c>
      <c r="B22" s="9" t="inlineStr">
        <is>
          <t>Pressure-Treated Wood Rail</t>
        </is>
      </c>
      <c r="D22" s="8" t="inlineStr">
        <is>
          <t>Border</t>
        </is>
      </c>
      <c r="E22" s="53">
        <f>IF(INDEX('Project Type Behavior'!$D$4:$D$10, MATCH(B13, 'Project Type Behavior'!$A$4:$A$10, 0))&lt;&gt;"Y", 0, IF(B32="Double Border", B18*'Pricing DB'!$B$91, 0))</f>
        <v/>
      </c>
    </row>
    <row r="23">
      <c r="A23" s="8" t="inlineStr">
        <is>
          <t>Framing Material</t>
        </is>
      </c>
      <c r="B23" s="9" t="inlineStr">
        <is>
          <t>KDAT Pressure-Treated</t>
        </is>
      </c>
      <c r="D23" s="8" t="inlineStr">
        <is>
          <t>Railing</t>
        </is>
      </c>
      <c r="E23" s="53">
        <f>IF(OR(INDEX('Project Type Behavior'!$E$4:$E$10, MATCH(B13, 'Project Type Behavior'!$A$4:$A$10, 0))="N"), 0, B33*E10)</f>
        <v/>
      </c>
    </row>
    <row r="24">
      <c r="D24" s="8" t="inlineStr">
        <is>
          <t>Fascia</t>
        </is>
      </c>
      <c r="E24" s="53">
        <f>IF(INDEX('Project Type Behavior'!$D$4:$D$10, MATCH(B13, 'Project Type Behavior'!$A$4:$A$10, 0))&lt;&gt;"Y", 0, B34*'Pricing DB'!$B$94)</f>
        <v/>
      </c>
    </row>
    <row r="25" ht="22" customHeight="1">
      <c r="A25" s="7" t="inlineStr">
        <is>
          <t>Site Conditions</t>
        </is>
      </c>
      <c r="D25" s="8" t="inlineStr">
        <is>
          <t>Stairs</t>
        </is>
      </c>
      <c r="E25" s="53">
        <f>IF(OR(INDEX('Project Type Behavior'!$F$4:$F$10, MATCH(B13, 'Project Type Behavior'!$A$4:$A$10, 0))="N", B35=0), 0, 'Pricing DB'!$B$83 + B36*'Pricing DB'!$B$84 + B37*'Pricing DB'!$B$85 + IF(B38="Yes", 'Pricing DB'!$B$86, 0) + IF(B32="Double Border", B36*'Pricing DB'!$B$87, 0))</f>
        <v/>
      </c>
    </row>
    <row r="26">
      <c r="A26" s="8" t="inlineStr">
        <is>
          <t>Height</t>
        </is>
      </c>
      <c r="B26" s="9" t="inlineStr">
        <is>
          <t>1 Story / Low</t>
        </is>
      </c>
      <c r="D26" s="8" t="inlineStr">
        <is>
          <t>Stain</t>
        </is>
      </c>
      <c r="E26" s="53">
        <f>IF(INDEX('Project Type Behavior'!$H$4:$H$10, MATCH(B13, 'Project Type Behavior'!$A$4:$A$10, 0))&lt;&gt;"Y", 0, B41*IFERROR(INDEX('Pricing DB'!$C$50:$C$55, MATCH(B42&amp;"|"&amp;B43, 'Pricing DB'!$D$50:$D$55, 0)), 0))</f>
        <v/>
      </c>
    </row>
    <row r="27">
      <c r="A27" s="8" t="inlineStr">
        <is>
          <t>Grade</t>
        </is>
      </c>
      <c r="B27" s="9" t="inlineStr">
        <is>
          <t>Flat / Normal Access</t>
        </is>
      </c>
      <c r="D27" s="8" t="inlineStr">
        <is>
          <t>Repairs</t>
        </is>
      </c>
      <c r="E27" s="53">
        <f>IF(AND(B13&lt;&gt;"Stain + Minor Repairs", B13&lt;&gt;"Resurface (Boards Only)"), 0, B46*'Pricing DB'!$B$58 + B47*'Pricing DB'!$B$59 + IF(B48="Yes", 'Pricing DB'!$B$60, 0) + IF(B13="Resurface (Boards Only)", 'Pricing DB'!$B$61, 0))</f>
        <v/>
      </c>
    </row>
    <row r="28">
      <c r="A28" s="8" t="inlineStr">
        <is>
          <t>Complexity</t>
        </is>
      </c>
      <c r="B28" s="9" t="inlineStr">
        <is>
          <t>Simple Rectangle</t>
        </is>
      </c>
      <c r="D28" s="8" t="inlineStr">
        <is>
          <t>Skirting / Privacy Wall</t>
        </is>
      </c>
      <c r="E28" s="53">
        <f>IF(INDEX('Project Type Behavior'!$D$4:$D$10, MATCH(B13, 'Project Type Behavior'!$A$4:$A$10, 0))&lt;&gt;"Y", 0, B51*'Pricing DB'!$B$95)</f>
        <v/>
      </c>
    </row>
    <row r="29">
      <c r="A29" s="8" t="inlineStr">
        <is>
          <t>Market Load</t>
        </is>
      </c>
      <c r="B29" s="9" t="inlineStr">
        <is>
          <t>Normal Schedule</t>
        </is>
      </c>
      <c r="D29" s="8" t="inlineStr">
        <is>
          <t>Lighting Fixtures</t>
        </is>
      </c>
      <c r="E29" s="53">
        <f>B52*IFERROR(INDEX('Pricing DB'!$C$99:$C$103, MATCH("lighting", 'Pricing DB'!$D$99:$D$103, 0)), 0)</f>
        <v/>
      </c>
    </row>
    <row r="30">
      <c r="D30" s="8" t="inlineStr">
        <is>
          <t>Built-In Benches</t>
        </is>
      </c>
      <c r="E30" s="53">
        <f>B53*IFERROR(INDEX('Pricing DB'!$C$99:$C$103, MATCH("bench", 'Pricing DB'!$D$99:$D$103, 0)), 0)</f>
        <v/>
      </c>
    </row>
    <row r="31" ht="22" customHeight="1">
      <c r="A31" s="7" t="inlineStr">
        <is>
          <t>Scope Detail</t>
        </is>
      </c>
      <c r="D31" s="8" t="inlineStr">
        <is>
          <t>Privacy Screen</t>
        </is>
      </c>
      <c r="E31" s="53">
        <f>B54*IFERROR(INDEX('Pricing DB'!$C$99:$C$103, MATCH("privacy_screen", 'Pricing DB'!$D$99:$D$103, 0)), 0)</f>
        <v/>
      </c>
    </row>
    <row r="32">
      <c r="A32" s="8" t="inlineStr">
        <is>
          <t>Border Style</t>
        </is>
      </c>
      <c r="B32" s="9" t="inlineStr">
        <is>
          <t>Pencil Border</t>
        </is>
      </c>
      <c r="D32" s="8" t="inlineStr">
        <is>
          <t>Hot Tub Structural</t>
        </is>
      </c>
      <c r="E32" s="53">
        <f>IF(B55="Yes", IFERROR(INDEX('Pricing DB'!$C$99:$C$103, MATCH("hot_tub", 'Pricing DB'!$D$99:$D$103, 0)), 0), 0)</f>
        <v/>
      </c>
    </row>
    <row r="33">
      <c r="A33" s="8" t="inlineStr">
        <is>
          <t>Railing LF</t>
        </is>
      </c>
      <c r="B33" s="15" t="n">
        <v>32</v>
      </c>
      <c r="C33" s="16" t="inlineStr">
        <is>
          <t>linear ft</t>
        </is>
      </c>
      <c r="D33" s="8" t="inlineStr">
        <is>
          <t>Permit / Engineering</t>
        </is>
      </c>
      <c r="E33" s="53">
        <f>B58</f>
        <v/>
      </c>
    </row>
    <row r="34">
      <c r="A34" s="8" t="inlineStr">
        <is>
          <t>Fascia LF</t>
        </is>
      </c>
      <c r="B34" s="15" t="n">
        <v>0</v>
      </c>
      <c r="C34" s="16" t="inlineStr">
        <is>
          <t>linear ft</t>
        </is>
      </c>
      <c r="D34" s="8" t="inlineStr">
        <is>
          <t>Dumpster / Cleanup</t>
        </is>
      </c>
      <c r="E34" s="53">
        <f>B59</f>
        <v/>
      </c>
    </row>
    <row r="35">
      <c r="A35" s="8" t="inlineStr">
        <is>
          <t>Stair Runs</t>
        </is>
      </c>
      <c r="B35" s="15" t="n">
        <v>1</v>
      </c>
      <c r="C35" s="16" t="inlineStr">
        <is>
          <t>number of stair runs</t>
        </is>
      </c>
      <c r="D35" s="8" t="inlineStr">
        <is>
          <t>Mobilization</t>
        </is>
      </c>
      <c r="E35" s="53">
        <f>B60</f>
        <v/>
      </c>
    </row>
    <row r="36">
      <c r="A36" s="8" t="inlineStr">
        <is>
          <t>Stair Treads</t>
        </is>
      </c>
      <c r="B36" s="15" t="n">
        <v>3</v>
      </c>
      <c r="C36" s="16" t="inlineStr">
        <is>
          <t>total treads</t>
        </is>
      </c>
      <c r="D36" s="8" t="inlineStr">
        <is>
          <t>Misc</t>
        </is>
      </c>
      <c r="E36" s="53">
        <f>B61</f>
        <v/>
      </c>
    </row>
    <row r="37">
      <c r="A37" s="8" t="inlineStr">
        <is>
          <t>Stair Landings</t>
        </is>
      </c>
      <c r="B37" s="15" t="n">
        <v>0</v>
      </c>
      <c r="C37" s="16" t="inlineStr">
        <is>
          <t>number of landings</t>
        </is>
      </c>
      <c r="D37" s="10" t="inlineStr">
        <is>
          <t>SUBTOTAL (Cost)</t>
        </is>
      </c>
      <c r="E37" s="54">
        <f>IF(B13="Fence", E50, SUM(E20:E36))</f>
        <v/>
      </c>
    </row>
    <row r="38">
      <c r="A38" s="8" t="inlineStr">
        <is>
          <t>Wraparound Stair</t>
        </is>
      </c>
      <c r="B38" s="9" t="inlineStr">
        <is>
          <t>No</t>
        </is>
      </c>
    </row>
    <row r="39" ht="22" customHeight="1">
      <c r="D39" s="7" t="inlineStr">
        <is>
          <t>Final Price</t>
        </is>
      </c>
    </row>
    <row r="40" ht="22" customHeight="1">
      <c r="A40" s="7" t="inlineStr">
        <is>
          <t>Stain Inputs (only used if project type involves staining)</t>
        </is>
      </c>
      <c r="D40" s="10" t="inlineStr">
        <is>
          <t>Sell Price</t>
        </is>
      </c>
      <c r="E40" s="55">
        <f>E37/(1-B64)</f>
        <v/>
      </c>
    </row>
    <row r="41">
      <c r="A41" s="8" t="inlineStr">
        <is>
          <t>Stain SF</t>
        </is>
      </c>
      <c r="B41" s="15" t="n">
        <v>0</v>
      </c>
      <c r="C41" s="16" t="inlineStr">
        <is>
          <t>SF of surface to stain</t>
        </is>
      </c>
      <c r="D41" s="8" t="inlineStr">
        <is>
          <t>Low Range</t>
        </is>
      </c>
      <c r="E41" s="53">
        <f>E40*(1-B65)</f>
        <v/>
      </c>
    </row>
    <row r="42">
      <c r="A42" s="8" t="inlineStr">
        <is>
          <t>Stain Type</t>
        </is>
      </c>
      <c r="B42" s="9" t="inlineStr">
        <is>
          <t>Solid / Paint-and-Sealer</t>
        </is>
      </c>
      <c r="D42" s="8" t="inlineStr">
        <is>
          <t>High Range</t>
        </is>
      </c>
      <c r="E42" s="53">
        <f>E40*(1+B65)</f>
        <v/>
      </c>
    </row>
    <row r="43">
      <c r="A43" s="8" t="inlineStr">
        <is>
          <t>Coats</t>
        </is>
      </c>
      <c r="B43" s="15" t="n">
        <v>1</v>
      </c>
      <c r="D43" s="8" t="inlineStr">
        <is>
          <t>Sell Price / unit</t>
        </is>
      </c>
      <c r="E43" s="51">
        <f>IF(B13="Fence", IF(B74=0, 0, E40/B74), IF(B18=0, 0, E40/B18))</f>
        <v/>
      </c>
    </row>
    <row r="44" ht="22" customHeight="1">
      <c r="D44" s="7" t="inlineStr">
        <is>
          <t>Fence Calc (used when Project Type = Fence)</t>
        </is>
      </c>
    </row>
    <row r="45" ht="22" customHeight="1">
      <c r="A45" s="7" t="inlineStr">
        <is>
          <t>Repair Bucket (only for Stain+Repairs or Resurface)</t>
        </is>
      </c>
      <c r="D45" s="8" t="inlineStr">
        <is>
          <t>Fence rate $/LF</t>
        </is>
      </c>
      <c r="E45" s="51">
        <f>IFERROR(INDEX('Pricing DB'!$B$127:$E$130, MATCH(B72, 'Pricing DB'!$A$127:$A$130, 0), MATCH(VALUE(B73), 'Pricing DB'!$B$126:$E$126, 0)), 0)</f>
        <v/>
      </c>
    </row>
    <row r="46">
      <c r="A46" s="8" t="inlineStr">
        <is>
          <t>Board Replacements</t>
        </is>
      </c>
      <c r="B46" s="15" t="n">
        <v>0</v>
      </c>
      <c r="C46" s="16" t="inlineStr">
        <is>
          <t>number of boards</t>
        </is>
      </c>
      <c r="D46" s="8" t="inlineStr">
        <is>
          <t>Fence run</t>
        </is>
      </c>
      <c r="E46" s="53">
        <f>B74*E45</f>
        <v/>
      </c>
    </row>
    <row r="47">
      <c r="A47" s="8" t="inlineStr">
        <is>
          <t>Joist Repair LF</t>
        </is>
      </c>
      <c r="B47" s="15" t="n">
        <v>0</v>
      </c>
      <c r="C47" s="16" t="inlineStr">
        <is>
          <t>linear ft of joists</t>
        </is>
      </c>
      <c r="D47" s="8" t="inlineStr">
        <is>
          <t>Gates</t>
        </is>
      </c>
      <c r="E47" s="53">
        <f>B75*'Pricing DB'!$B$133+B76*'Pricing DB'!$B$134</f>
        <v/>
      </c>
    </row>
    <row r="48">
      <c r="A48" s="8" t="inlineStr">
        <is>
          <t>Hardware Included?</t>
        </is>
      </c>
      <c r="B48" s="9" t="inlineStr">
        <is>
          <t>No</t>
        </is>
      </c>
      <c r="D48" s="8" t="inlineStr">
        <is>
          <t>Tear-out</t>
        </is>
      </c>
      <c r="E48" s="53">
        <f>B77*'Pricing DB'!$B$135</f>
        <v/>
      </c>
    </row>
    <row r="49">
      <c r="D49" s="8" t="inlineStr">
        <is>
          <t>Fence allowances</t>
        </is>
      </c>
      <c r="E49" s="53">
        <f>B58+B59+B60+B61</f>
        <v/>
      </c>
    </row>
    <row r="50" ht="22" customHeight="1">
      <c r="A50" s="7" t="inlineStr">
        <is>
          <t>Adders (Optional Upgrades)</t>
        </is>
      </c>
      <c r="D50" s="8" t="inlineStr">
        <is>
          <t>Fence subtotal</t>
        </is>
      </c>
      <c r="E50" s="53">
        <f>E46+E47+E48+E49</f>
        <v/>
      </c>
    </row>
    <row r="51">
      <c r="A51" s="8" t="inlineStr">
        <is>
          <t>Skirting / Privacy Wall SF</t>
        </is>
      </c>
      <c r="B51" s="15" t="n">
        <v>0</v>
      </c>
      <c r="C51" s="16" t="inlineStr">
        <is>
          <t>SF</t>
        </is>
      </c>
    </row>
    <row r="52">
      <c r="A52" s="8" t="inlineStr">
        <is>
          <t>Lighting Fixtures</t>
        </is>
      </c>
      <c r="B52" s="15" t="n">
        <v>0</v>
      </c>
      <c r="C52" s="16" t="inlineStr">
        <is>
          <t>count</t>
        </is>
      </c>
    </row>
    <row r="53">
      <c r="A53" s="8" t="inlineStr">
        <is>
          <t>Built-In Benches</t>
        </is>
      </c>
      <c r="B53" s="15" t="n">
        <v>0</v>
      </c>
      <c r="C53" s="16" t="inlineStr">
        <is>
          <t>count</t>
        </is>
      </c>
    </row>
    <row r="54">
      <c r="A54" s="8" t="inlineStr">
        <is>
          <t>Privacy Screen LF</t>
        </is>
      </c>
      <c r="B54" s="15" t="n">
        <v>0</v>
      </c>
      <c r="C54" s="16" t="inlineStr">
        <is>
          <t>linear ft</t>
        </is>
      </c>
    </row>
    <row r="55">
      <c r="A55" s="8" t="inlineStr">
        <is>
          <t>Hot Tub Structural Upgrade</t>
        </is>
      </c>
      <c r="B55" s="9" t="inlineStr">
        <is>
          <t>No</t>
        </is>
      </c>
    </row>
    <row r="57" ht="22" customHeight="1">
      <c r="A57" s="7" t="inlineStr">
        <is>
          <t>Allowances (auto-default per project type; override by typing)</t>
        </is>
      </c>
    </row>
    <row r="58">
      <c r="A58" s="8" t="inlineStr">
        <is>
          <t>Permit / Engineering</t>
        </is>
      </c>
      <c r="B58" s="56">
        <f>IFERROR(INDEX('Pricing DB'!$B$117:$B$123, MATCH(B13, 'Pricing DB'!$A$117:$A$123, 0)), 'Pricing DB'!$B$106)</f>
        <v/>
      </c>
    </row>
    <row r="59">
      <c r="A59" s="8" t="inlineStr">
        <is>
          <t>Dumpster / Cleanup</t>
        </is>
      </c>
      <c r="B59" s="56">
        <f>IFERROR(INDEX('Pricing DB'!$C$117:$C$123, MATCH(B13, 'Pricing DB'!$A$117:$A$123, 0)), 'Pricing DB'!$B$107)</f>
        <v/>
      </c>
    </row>
    <row r="60">
      <c r="A60" s="8" t="inlineStr">
        <is>
          <t>Mobilization</t>
        </is>
      </c>
      <c r="B60" s="56">
        <f>IFERROR(INDEX('Pricing DB'!$D$117:$D$123, MATCH(B13, 'Pricing DB'!$A$117:$A$123, 0)), 'Pricing DB'!$B$108)</f>
        <v/>
      </c>
    </row>
    <row r="61">
      <c r="A61" s="8" t="inlineStr">
        <is>
          <t>Manual Misc Add</t>
        </is>
      </c>
      <c r="B61" s="56" t="n">
        <v>0</v>
      </c>
    </row>
    <row r="63" ht="22" customHeight="1">
      <c r="A63" s="7" t="inlineStr">
        <is>
          <t>Margin &amp; Range</t>
        </is>
      </c>
    </row>
    <row r="64">
      <c r="A64" s="8" t="inlineStr">
        <is>
          <t>Target Gross Margin</t>
        </is>
      </c>
      <c r="B64" s="57" t="n">
        <v>-0.6324330357142858</v>
      </c>
    </row>
    <row r="65">
      <c r="A65" s="8" t="inlineStr">
        <is>
          <t>Contingency Range (+/-)</t>
        </is>
      </c>
      <c r="B65" s="57" t="n">
        <v>0.08</v>
      </c>
    </row>
    <row r="67">
      <c r="A67" s="23" t="inlineStr">
        <is>
          <t>Notes:</t>
        </is>
      </c>
    </row>
    <row r="68">
      <c r="A68" s="24" t="inlineStr">
        <is>
          <t>- Yellow cells are inputs. Grey cells are formulas. Do not type over grey cells.</t>
        </is>
      </c>
    </row>
    <row r="69">
      <c r="A69" s="24" t="inlineStr">
        <is>
          <t>- Switch Project Type first. Inputs that don't apply to the selected type are still editable but the engine ignores them.</t>
        </is>
      </c>
    </row>
    <row r="70">
      <c r="A70" s="24" t="inlineStr">
        <is>
          <t>- See 'Notes' sheet for the project-type behavior matrix and full assumptions.</t>
        </is>
      </c>
    </row>
    <row r="71" ht="22" customHeight="1">
      <c r="A71" s="7" t="inlineStr">
        <is>
          <t>Fence Inputs (used only when Project Type = Fence) + Colors</t>
        </is>
      </c>
    </row>
    <row r="72">
      <c r="A72" s="8" t="inlineStr">
        <is>
          <t>Fence Type</t>
        </is>
      </c>
      <c r="B72" s="9" t="inlineStr">
        <is>
          <t>Wood Privacy (Cedar / PT)</t>
        </is>
      </c>
    </row>
    <row r="73">
      <c r="A73" s="8" t="inlineStr">
        <is>
          <t>Fence Height (ft)</t>
        </is>
      </c>
      <c r="B73" s="9" t="inlineStr">
        <is>
          <t>6</t>
        </is>
      </c>
    </row>
    <row r="74">
      <c r="A74" s="8" t="inlineStr">
        <is>
          <t>Fence LF</t>
        </is>
      </c>
      <c r="B74" s="15" t="n">
        <v>0</v>
      </c>
    </row>
    <row r="75">
      <c r="A75" s="8" t="inlineStr">
        <is>
          <t>Walk Gates</t>
        </is>
      </c>
      <c r="B75" s="15" t="n">
        <v>0</v>
      </c>
    </row>
    <row r="76">
      <c r="A76" s="8" t="inlineStr">
        <is>
          <t>Drive / Double Gates</t>
        </is>
      </c>
      <c r="B76" s="15" t="n">
        <v>0</v>
      </c>
    </row>
    <row r="77">
      <c r="A77" s="8" t="inlineStr">
        <is>
          <t>Existing Fence Tear-out LF</t>
        </is>
      </c>
      <c r="B77" s="15" t="n">
        <v>0</v>
      </c>
    </row>
    <row r="78">
      <c r="A78" s="8" t="inlineStr">
        <is>
          <t>Fence Color</t>
        </is>
      </c>
      <c r="B78" s="9" t="inlineStr"/>
    </row>
    <row r="79">
      <c r="A79" s="8" t="inlineStr">
        <is>
          <t>Decking Color</t>
        </is>
      </c>
      <c r="B79" s="9" t="inlineStr">
        <is>
          <t>Natural (finish via stain - see Stain section)</t>
        </is>
      </c>
    </row>
    <row r="80">
      <c r="A80" s="8" t="inlineStr">
        <is>
          <t>Railing Color</t>
        </is>
      </c>
      <c r="B80" s="9" t="inlineStr">
        <is>
          <t>Natural (finish via stain)</t>
        </is>
      </c>
    </row>
    <row r="81">
      <c r="A81" s="8" t="inlineStr">
        <is>
          <t>Stain Color</t>
        </is>
      </c>
      <c r="B81" s="9" t="inlineStr"/>
    </row>
  </sheetData>
  <mergeCells count="26">
    <mergeCell ref="A25:C25"/>
    <mergeCell ref="A12:C12"/>
    <mergeCell ref="A50:C50"/>
    <mergeCell ref="A57:C57"/>
    <mergeCell ref="A71:C71"/>
    <mergeCell ref="C3:F3"/>
    <mergeCell ref="D12:F12"/>
    <mergeCell ref="D39:F39"/>
    <mergeCell ref="A20:C20"/>
    <mergeCell ref="A3:B3"/>
    <mergeCell ref="A2:B2"/>
    <mergeCell ref="A63:C63"/>
    <mergeCell ref="A68:F68"/>
    <mergeCell ref="A31:C31"/>
    <mergeCell ref="A40:C40"/>
    <mergeCell ref="D44:F44"/>
    <mergeCell ref="A15:C15"/>
    <mergeCell ref="A4:B4"/>
    <mergeCell ref="D19:F19"/>
    <mergeCell ref="A45:C45"/>
    <mergeCell ref="A1:F1"/>
    <mergeCell ref="A6:C6"/>
    <mergeCell ref="A70:F70"/>
    <mergeCell ref="C2:F2"/>
    <mergeCell ref="D6:F6"/>
    <mergeCell ref="A69:F69"/>
  </mergeCells>
  <conditionalFormatting sqref="A41:C43">
    <cfRule type="expression" priority="1" dxfId="0">
      <formula>INDEX('Project Type Behavior'!$H$4:$H$10, MATCH(B13, 'Project Type Behavior'!$A$4:$A$10, 0))&lt;&gt;"Y"</formula>
    </cfRule>
  </conditionalFormatting>
  <conditionalFormatting sqref="D26:E26">
    <cfRule type="expression" priority="1" dxfId="0">
      <formula>INDEX('Project Type Behavior'!$H$4:$H$10, MATCH(B13, 'Project Type Behavior'!$A$4:$A$10, 0))&lt;&gt;"Y"</formula>
    </cfRule>
  </conditionalFormatting>
  <conditionalFormatting sqref="A46:C48">
    <cfRule type="expression" priority="3" dxfId="0">
      <formula>AND(B13&lt;&gt;"Stain + Minor Repairs", B13&lt;&gt;"Resurface (Boards Only)")</formula>
    </cfRule>
  </conditionalFormatting>
  <conditionalFormatting sqref="D27:E27">
    <cfRule type="expression" priority="3" dxfId="0">
      <formula>AND(B13&lt;&gt;"Stain + Minor Repairs", B13&lt;&gt;"Resurface (Boards Only)")</formula>
    </cfRule>
  </conditionalFormatting>
  <conditionalFormatting sqref="A32:C38">
    <cfRule type="expression" priority="5" dxfId="0">
      <formula>B13="Stain Only"</formula>
    </cfRule>
  </conditionalFormatting>
  <conditionalFormatting sqref="A51:C55">
    <cfRule type="expression" priority="5" dxfId="0">
      <formula>B13="Stain Only"</formula>
    </cfRule>
  </conditionalFormatting>
  <conditionalFormatting sqref="D22:E25">
    <cfRule type="expression" priority="5" dxfId="0">
      <formula>B13="Stain Only"</formula>
    </cfRule>
  </conditionalFormatting>
  <conditionalFormatting sqref="D28:E32">
    <cfRule type="expression" priority="5" dxfId="0">
      <formula>B13="Stain Only"</formula>
    </cfRule>
  </conditionalFormatting>
  <conditionalFormatting sqref="A21:C23">
    <cfRule type="expression" priority="9" dxfId="0">
      <formula>B13="Stain Only"</formula>
    </cfRule>
  </conditionalFormatting>
  <conditionalFormatting sqref="D7:E10">
    <cfRule type="expression" priority="9" dxfId="0">
      <formula>B13="Stain Only"</formula>
    </cfRule>
  </conditionalFormatting>
  <dataValidations count="16">
    <dataValidation sqref="B13" showDropDown="0" showInputMessage="0" showErrorMessage="0" allowBlank="1" errorTitle="Invalid selection" error="Pick from the list" type="list">
      <formula1>'Project Type Behavior'!$A$4:$A$10</formula1>
    </dataValidation>
    <dataValidation sqref="B21" showDropDown="0" showInputMessage="0" showErrorMessage="0" allowBlank="1" errorTitle="Invalid selection" error="Pick from the list" type="list">
      <formula1>"Pressure-Treated Pine,Cedar,Trex Enhance,Trex Select,Trex Transcend,TimberTech AZEK Harvest,TimberTech AZEK Harvest+,TimberTech AZEK Landmark,TimberTech AZEK Vintage,TimberTech PRO Terrain,TimberTech PRO Terrain+,TimberTech PRO Reserve,TimberTech PRO Legacy"</formula1>
    </dataValidation>
    <dataValidation sqref="B22" showDropDown="0" showInputMessage="0" showErrorMessage="0" allowBlank="1" errorTitle="Invalid selection" error="Pick from the list" type="list">
      <formula1>"Pressure-Treated Wood Rail,Cedar Wood Rail,Trex Aluminum,Cable Railing,Glass Panel,TimberTech Reliance Rail (Vinyl),TimberTech Premier Rail (Composite),TimberTech Impression Rail Express (Aluminum),TimberTech RadianceRail (Premium)"</formula1>
    </dataValidation>
    <dataValidation sqref="B23" showDropDown="0" showInputMessage="0" showErrorMessage="0" allowBlank="1" errorTitle="Invalid selection" error="Pick from the list" type="list">
      <formula1>"KDAT Pressure-Treated,Steel (Fortress Evolution)"</formula1>
    </dataValidation>
    <dataValidation sqref="B26" showDropDown="0" showInputMessage="0" showErrorMessage="0" allowBlank="1" errorTitle="Invalid selection" error="Pick from the list" type="list">
      <formula1>"1 Story / Low,2 Story / Elevated"</formula1>
    </dataValidation>
    <dataValidation sqref="B27" showDropDown="0" showInputMessage="0" showErrorMessage="0" allowBlank="1" errorTitle="Invalid selection" error="Pick from the list" type="list">
      <formula1>"Flat / Normal Access,Mild Slope,Steep Slope"</formula1>
    </dataValidation>
    <dataValidation sqref="B28" showDropDown="0" showInputMessage="0" showErrorMessage="0" allowBlank="1" errorTitle="Invalid selection" error="Pick from the list" type="list">
      <formula1>"Simple Rectangle,Bump Outs / Angles,Multi-Level / Complex"</formula1>
    </dataValidation>
    <dataValidation sqref="B29" showDropDown="0" showInputMessage="0" showErrorMessage="0" allowBlank="1" errorTitle="Invalid selection" error="Pick from the list" type="list">
      <formula1>"Normal Schedule,Busy Season,Winter / Difficult Timing"</formula1>
    </dataValidation>
    <dataValidation sqref="B32" showDropDown="0" showInputMessage="0" showErrorMessage="0" allowBlank="1" errorTitle="Invalid selection" error="Pick from the list" type="list">
      <formula1>"Pencil Border,Double Border"</formula1>
    </dataValidation>
    <dataValidation sqref="B38" showDropDown="0" showInputMessage="0" showErrorMessage="0" allowBlank="1" errorTitle="Invalid selection" error="Pick from the list" type="list">
      <formula1>"Yes,No"</formula1>
    </dataValidation>
    <dataValidation sqref="B42" showDropDown="0" showInputMessage="0" showErrorMessage="0" allowBlank="1" errorTitle="Invalid selection" error="Pick from the list" type="list">
      <formula1>"Semi-Transparent,Solid / Paint-and-Sealer,Transparent"</formula1>
    </dataValidation>
    <dataValidation sqref="B43" showDropDown="0" showInputMessage="0" showErrorMessage="0" allowBlank="1" errorTitle="Invalid selection" error="Pick from the list" type="list">
      <formula1>"1,2"</formula1>
    </dataValidation>
    <dataValidation sqref="B48" showDropDown="0" showInputMessage="0" showErrorMessage="0" allowBlank="1" errorTitle="Invalid selection" error="Pick from the list" type="list">
      <formula1>"Yes,No"</formula1>
    </dataValidation>
    <dataValidation sqref="B55" showDropDown="0" showInputMessage="0" showErrorMessage="0" allowBlank="1" errorTitle="Invalid selection" error="Pick from the list" type="list">
      <formula1>"Yes,No"</formula1>
    </dataValidation>
    <dataValidation sqref="B72" showDropDown="0" showInputMessage="0" showErrorMessage="0" allowBlank="1" errorTitle="Invalid selection" error="Pick from the list" type="list">
      <formula1>"Wood Privacy (Cedar / PT),Vinyl Privacy,Aluminum Ornamental,Chain Link (Galvanized)"</formula1>
    </dataValidation>
    <dataValidation sqref="B73" showDropDown="0" showInputMessage="0" showErrorMessage="0" allowBlank="1" errorTitle="Invalid selection" error="Pick from the list" type="list">
      <formula1>"4,5,6,8"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23434"/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48" customWidth="1" min="5" max="5"/>
    <col width="38" customWidth="1" min="6" max="6"/>
  </cols>
  <sheetData>
    <row r="1">
      <c r="A1" s="1" t="inlineStr">
        <is>
          <t>CWDB Pricing Database</t>
        </is>
      </c>
    </row>
    <row r="2">
      <c r="A2" s="24" t="inlineStr">
        <is>
          <t>As-of 2026-05-28 · Edit yellow cells. Regenerate workbook to reflect changes. Review quarterly.</t>
        </is>
      </c>
    </row>
    <row r="5" ht="22" customHeight="1">
      <c r="A5" s="7" t="inlineStr">
        <is>
          <t>Decking Materials</t>
        </is>
      </c>
    </row>
    <row r="6">
      <c r="A6" s="25" t="inlineStr">
        <is>
          <t>Name</t>
        </is>
      </c>
      <c r="B6" s="25" t="inlineStr">
        <is>
          <t>Sell $/SF</t>
        </is>
      </c>
      <c r="C6" s="25" t="inlineStr">
        <is>
          <t>Material $/SF</t>
        </is>
      </c>
      <c r="D6" s="25" t="inlineStr">
        <is>
          <t>Waste %</t>
        </is>
      </c>
      <c r="E6" s="25" t="inlineStr">
        <is>
          <t>Description</t>
        </is>
      </c>
      <c r="F6" s="25" t="inlineStr">
        <is>
          <t>Source</t>
        </is>
      </c>
    </row>
    <row r="7">
      <c r="A7" s="26" t="inlineStr">
        <is>
          <t>Pressure-Treated Pine</t>
        </is>
      </c>
      <c r="B7" s="58" t="n">
        <v>4.5</v>
      </c>
      <c r="C7" s="58" t="n">
        <v>1.25</v>
      </c>
      <c r="D7" s="57" t="n">
        <v>0.1</v>
      </c>
      <c r="E7" s="26" t="inlineStr">
        <is>
          <t>Budget tier. AC2 5/4x6x16 PT decking (Menards SKU 1110669). 8-12 yr life with stain maintenance.</t>
        </is>
      </c>
      <c r="F7" s="26" t="inlineStr">
        <is>
          <t>Menards Wausau 2026-05 (fallback - verify in-person)</t>
        </is>
      </c>
    </row>
    <row r="8">
      <c r="A8" s="26" t="inlineStr">
        <is>
          <t>Cedar</t>
        </is>
      </c>
      <c r="B8" s="58" t="n">
        <v>12</v>
      </c>
      <c r="C8" s="58" t="n">
        <v>4.85</v>
      </c>
      <c r="D8" s="57" t="n">
        <v>0.1</v>
      </c>
      <c r="E8" s="26" t="inlineStr">
        <is>
          <t>Mid wood tier. Red Cedar 5/4x6x16 (Menards SKU 1072723 - $35.59 rebate). Natural rot resistance. 15-20 yr life.</t>
        </is>
      </c>
      <c r="F8" s="26" t="inlineStr">
        <is>
          <t>Menards Wausau 2026-05 (confirmed)</t>
        </is>
      </c>
    </row>
    <row r="9">
      <c r="A9" s="26" t="inlineStr">
        <is>
          <t>Trex Enhance</t>
        </is>
      </c>
      <c r="B9" s="58" t="n">
        <v>22</v>
      </c>
      <c r="C9" s="58" t="n">
        <v>7.5</v>
      </c>
      <c r="D9" s="57" t="n">
        <v>0.08</v>
      </c>
      <c r="E9" s="26" t="inlineStr">
        <is>
          <t>Entry composite. 25-yr warranty. Budget-friendly composite option.</t>
        </is>
      </c>
      <c r="F9" s="26" t="inlineStr">
        <is>
          <t>John Garcia spreadsheet (verified 2026-05)</t>
        </is>
      </c>
    </row>
    <row r="10">
      <c r="A10" s="26" t="inlineStr">
        <is>
          <t>Trex Select</t>
        </is>
      </c>
      <c r="B10" s="58" t="n">
        <v>30</v>
      </c>
      <c r="C10" s="58" t="n">
        <v>10.5</v>
      </c>
      <c r="D10" s="57" t="n">
        <v>0.08</v>
      </c>
      <c r="E10" s="26" t="inlineStr">
        <is>
          <t>Mid-tier composite. 35-yr warranty. Most common composite upgrade.</t>
        </is>
      </c>
      <c r="F10" s="26" t="inlineStr">
        <is>
          <t>John Garcia spreadsheet (verified 2026-05)</t>
        </is>
      </c>
    </row>
    <row r="11">
      <c r="A11" s="26" t="inlineStr">
        <is>
          <t>Trex Transcend</t>
        </is>
      </c>
      <c r="B11" s="58" t="n">
        <v>42</v>
      </c>
      <c r="C11" s="58" t="n">
        <v>16</v>
      </c>
      <c r="D11" s="57" t="n">
        <v>0.1</v>
      </c>
      <c r="E11" s="26" t="inlineStr">
        <is>
          <t>Premium composite. Full grain, deep colors. 50-yr warranty.</t>
        </is>
      </c>
      <c r="F11" s="26" t="inlineStr">
        <is>
          <t>John Garcia spreadsheet (verified 2026-05)</t>
        </is>
      </c>
    </row>
    <row r="12">
      <c r="A12" s="26" t="inlineStr">
        <is>
          <t>TimberTech AZEK Harvest</t>
        </is>
      </c>
      <c r="B12" s="58" t="n">
        <v>33</v>
      </c>
      <c r="C12" s="58" t="n">
        <v>11.92</v>
      </c>
      <c r="D12" s="57" t="n">
        <v>0.08</v>
      </c>
      <c r="E12" s="26" t="inlineStr">
        <is>
          <t>Advanced PVC (AZEK), Harvest Collection - refined cathedral grain. Capped polymer, no organic content. Entry AZEK tier.</t>
        </is>
      </c>
      <c r="F12" s="26" t="inlineStr">
        <is>
          <t>John Garcia / Badger cost sheet 2026-06 ($5.47/LF). sell = 5.47x2.18x2.75. CONFIRM markup.</t>
        </is>
      </c>
    </row>
    <row r="13">
      <c r="A13" s="26" t="inlineStr">
        <is>
          <t>TimberTech AZEK Harvest+</t>
        </is>
      </c>
      <c r="B13" s="58" t="n">
        <v>41</v>
      </c>
      <c r="C13" s="58" t="n">
        <v>14.91</v>
      </c>
      <c r="D13" s="57" t="n">
        <v>0.08</v>
      </c>
      <c r="E13" s="26" t="inlineStr">
        <is>
          <t>Advanced PVC (AZEK), Harvest+ Collection - understated cathedral grain.</t>
        </is>
      </c>
      <c r="F13" s="26" t="inlineStr">
        <is>
          <t>John Garcia / Badger cost sheet 2026-06 ($6.84/LF). sell = 6.84x2.18x2.75. CONFIRM markup + colors.</t>
        </is>
      </c>
    </row>
    <row r="14">
      <c r="A14" s="26" t="inlineStr">
        <is>
          <t>TimberTech AZEK Landmark</t>
        </is>
      </c>
      <c r="B14" s="58" t="n">
        <v>41</v>
      </c>
      <c r="C14" s="58" t="n">
        <v>14.91</v>
      </c>
      <c r="D14" s="57" t="n">
        <v>0.08</v>
      </c>
      <c r="E14" s="26" t="inlineStr">
        <is>
          <t>Advanced PVC (AZEK), Landmark Collection - crosscut hardwoods, cathedral grain.</t>
        </is>
      </c>
      <c r="F14" s="26" t="inlineStr">
        <is>
          <t>John Garcia / Badger cost sheet 2026-06 ($6.84/LF). sell = 6.84x2.18x2.75. CONFIRM markup.</t>
        </is>
      </c>
    </row>
    <row r="15">
      <c r="A15" s="26" t="inlineStr">
        <is>
          <t>TimberTech AZEK Vintage</t>
        </is>
      </c>
      <c r="B15" s="58" t="n">
        <v>47</v>
      </c>
      <c r="C15" s="58" t="n">
        <v>17.24</v>
      </c>
      <c r="D15" s="57" t="n">
        <v>0.08</v>
      </c>
      <c r="E15" s="26" t="inlineStr">
        <is>
          <t>Advanced PVC (AZEK), Vintage Collection - exotic hardwoods, wire-brushed finish. Top AZEK tier.</t>
        </is>
      </c>
      <c r="F15" s="26" t="inlineStr">
        <is>
          <t>John Garcia / Badger cost sheet 2026-06 ($7.91/LF). sell = 7.91x2.18x2.75. CONFIRM markup.</t>
        </is>
      </c>
    </row>
    <row r="16">
      <c r="A16" s="26" t="inlineStr">
        <is>
          <t>TimberTech PRO Terrain</t>
        </is>
      </c>
      <c r="B16" s="58" t="n">
        <v>27</v>
      </c>
      <c r="C16" s="58" t="n">
        <v>9.81</v>
      </c>
      <c r="D16" s="57" t="n">
        <v>0.08</v>
      </c>
      <c r="E16" s="26" t="inlineStr">
        <is>
          <t>Capped composite (PRO), Terrain Collection - rugged cathedral grain. Entry PRO tier.</t>
        </is>
      </c>
      <c r="F16" s="26" t="inlineStr">
        <is>
          <t>John Garcia / Woodland cost sheet 2026-06 ($4.50/LF). sell = 4.50x2.18x2.75. CONFIRM markup.</t>
        </is>
      </c>
    </row>
    <row r="17">
      <c r="A17" s="26" t="inlineStr">
        <is>
          <t>TimberTech PRO Terrain+</t>
        </is>
      </c>
      <c r="B17" s="58" t="n">
        <v>27</v>
      </c>
      <c r="C17" s="58" t="n">
        <v>9.81</v>
      </c>
      <c r="D17" s="57" t="n">
        <v>0.08</v>
      </c>
      <c r="E17" s="26" t="inlineStr">
        <is>
          <t>Capped composite (PRO), Terrain+ Collection - subtle wood grain.</t>
        </is>
      </c>
      <c r="F17" s="26" t="inlineStr">
        <is>
          <t>John Garcia / Woodland cost sheet 2026-06 ($4.50/LF). sell = 4.50x2.18x2.75. CONFIRM markup + colors.</t>
        </is>
      </c>
    </row>
    <row r="18">
      <c r="A18" s="26" t="inlineStr">
        <is>
          <t>TimberTech PRO Reserve</t>
        </is>
      </c>
      <c r="B18" s="58" t="n">
        <v>38</v>
      </c>
      <c r="C18" s="58" t="n">
        <v>13.93</v>
      </c>
      <c r="D18" s="57" t="n">
        <v>0.08</v>
      </c>
      <c r="E18" s="26" t="inlineStr">
        <is>
          <t>Capped composite (PRO), Reserve Collection - reclaimed-wood look.</t>
        </is>
      </c>
      <c r="F18" s="26" t="inlineStr">
        <is>
          <t>John Garcia / Woodland cost sheet 2026-06 ($6.39/LF). sell = 6.39x2.18x2.75. CONFIRM markup.</t>
        </is>
      </c>
    </row>
    <row r="19">
      <c r="A19" s="26" t="inlineStr">
        <is>
          <t>TimberTech PRO Legacy</t>
        </is>
      </c>
      <c r="B19" s="58" t="n">
        <v>46</v>
      </c>
      <c r="C19" s="58" t="n">
        <v>16.74</v>
      </c>
      <c r="D19" s="57" t="n">
        <v>0.08</v>
      </c>
      <c r="E19" s="26" t="inlineStr">
        <is>
          <t>Capped composite (PRO), Legacy Collection - hand-scraped finish. Top PRO tier.</t>
        </is>
      </c>
      <c r="F19" s="26" t="inlineStr">
        <is>
          <t>John Garcia / Woodland cost sheet 2026-06 ($7.68/LF). sell = 7.68x2.18x2.75. CONFIRM markup.</t>
        </is>
      </c>
    </row>
    <row r="21" ht="22" customHeight="1">
      <c r="A21" s="7" t="inlineStr">
        <is>
          <t>Railing Materials</t>
        </is>
      </c>
    </row>
    <row r="22">
      <c r="A22" s="25" t="inlineStr">
        <is>
          <t>Name</t>
        </is>
      </c>
      <c r="B22" s="25" t="inlineStr">
        <is>
          <t>Sell $/LF</t>
        </is>
      </c>
      <c r="C22" s="25" t="inlineStr">
        <is>
          <t>Material $/LF</t>
        </is>
      </c>
      <c r="D22" s="25" t="inlineStr">
        <is>
          <t>Description</t>
        </is>
      </c>
      <c r="E22" s="25" t="inlineStr">
        <is>
          <t>Source</t>
        </is>
      </c>
      <c r="F22" s="25" t="inlineStr"/>
    </row>
    <row r="23">
      <c r="A23" s="26" t="inlineStr">
        <is>
          <t>Pressure-Treated Wood Rail</t>
        </is>
      </c>
      <c r="B23" s="56" t="n">
        <v>40</v>
      </c>
      <c r="C23" s="56" t="n">
        <v>11</v>
      </c>
      <c r="D23" s="26" t="inlineStr">
        <is>
          <t>PT 2x4 top/bottom rail (Menards SKU 1110818) with PT 2x2 balusters and 4x4 posts. Budget tier.</t>
        </is>
      </c>
      <c r="E23" s="26" t="inlineStr">
        <is>
          <t>Menards Wausau 2026-05 (confirmed for 2x4)</t>
        </is>
      </c>
    </row>
    <row r="24">
      <c r="A24" s="26" t="inlineStr">
        <is>
          <t>Cedar Wood Rail</t>
        </is>
      </c>
      <c r="B24" s="56" t="n">
        <v>60</v>
      </c>
      <c r="C24" s="56" t="n">
        <v>18</v>
      </c>
      <c r="D24" s="26" t="inlineStr">
        <is>
          <t>Cedar 2x4 top/bottom rail (Menards SKU 1072752 - fallback) with cedar balusters. Mid wood tier.</t>
        </is>
      </c>
      <c r="E24" s="26" t="inlineStr">
        <is>
          <t>Menards Wausau 2026-05 (fallback - verify in-person)</t>
        </is>
      </c>
    </row>
    <row r="25">
      <c r="A25" s="26" t="inlineStr">
        <is>
          <t>Trex Aluminum</t>
        </is>
      </c>
      <c r="B25" s="56" t="n">
        <v>165</v>
      </c>
      <c r="C25" s="56" t="n">
        <v>65</v>
      </c>
      <c r="D25" s="26" t="inlineStr">
        <is>
          <t>Trex Signature aluminum rail system. Black/bronze. Lifetime warranty.</t>
        </is>
      </c>
      <c r="E25" s="26" t="inlineStr">
        <is>
          <t>John Garcia spreadsheet (verified 2026-05)</t>
        </is>
      </c>
    </row>
    <row r="26">
      <c r="A26" s="26" t="inlineStr">
        <is>
          <t>Cable Railing</t>
        </is>
      </c>
      <c r="B26" s="56" t="n">
        <v>110</v>
      </c>
      <c r="C26" s="56" t="n">
        <v>45</v>
      </c>
      <c r="D26" s="26" t="inlineStr">
        <is>
          <t>Feeney CableRail (Menards SKU 6310-PKG) on PT/cedar posts. Full system with top+bot rail. Modern look, view preservation.</t>
        </is>
      </c>
      <c r="E26" s="26" t="inlineStr">
        <is>
          <t>Dunn Lumber + Menards 2026-05 (corroborated)</t>
        </is>
      </c>
    </row>
    <row r="27">
      <c r="A27" s="26" t="inlineStr">
        <is>
          <t>Glass Panel</t>
        </is>
      </c>
      <c r="B27" s="56" t="n">
        <v>275</v>
      </c>
      <c r="C27" s="56" t="n">
        <v>180</v>
      </c>
      <c r="D27" s="26" t="inlineStr">
        <is>
          <t>Tempered glass panel railing with aluminum posts. Premium tier - $60K+ projects only.</t>
        </is>
      </c>
      <c r="E27" s="26" t="inlineStr">
        <is>
          <t>Angi + HomeGuide + Viewrail (industry avg 2026-05)</t>
        </is>
      </c>
    </row>
    <row r="28">
      <c r="A28" s="26" t="inlineStr">
        <is>
          <t>TimberTech Reliance Rail (Vinyl)</t>
        </is>
      </c>
      <c r="B28" s="56" t="n">
        <v>70</v>
      </c>
      <c r="C28" s="56" t="n">
        <v>28</v>
      </c>
      <c r="D28" s="26" t="inlineStr">
        <is>
          <t>Premium vinyl railing, value tier. Low-maintenance. CONFIRM pricing.</t>
        </is>
      </c>
      <c r="E28" s="26" t="inlineStr">
        <is>
          <t>Market research 2026-06 (TimberTech does not publish; rail material ~$20-60/LF). sell = material x 2.5. CONFIRM.</t>
        </is>
      </c>
    </row>
    <row r="29">
      <c r="A29" s="26" t="inlineStr">
        <is>
          <t>TimberTech Premier Rail (Composite)</t>
        </is>
      </c>
      <c r="B29" s="56" t="n">
        <v>100</v>
      </c>
      <c r="C29" s="56" t="n">
        <v>40</v>
      </c>
      <c r="D29" s="26" t="inlineStr">
        <is>
          <t>Composite railing, mid tier. Pairs with PRO/EDGE decking.</t>
        </is>
      </c>
      <c r="E29" s="26" t="inlineStr">
        <is>
          <t>Market research 2026-06. sell = material x 2.5. CONFIRM.</t>
        </is>
      </c>
    </row>
    <row r="30">
      <c r="A30" s="26" t="inlineStr">
        <is>
          <t>TimberTech Impression Rail Express (Aluminum)</t>
        </is>
      </c>
      <c r="B30" s="56" t="n">
        <v>110</v>
      </c>
      <c r="C30" s="56" t="n">
        <v>45</v>
      </c>
      <c r="D30" s="26" t="inlineStr">
        <is>
          <t>Powder-coated aluminum railing, mid tier. Slim sightlines.</t>
        </is>
      </c>
      <c r="E30" s="26" t="inlineStr">
        <is>
          <t>Market research 2026-06. sell = material x 2.5. CONFIRM.</t>
        </is>
      </c>
    </row>
    <row r="31">
      <c r="A31" s="26" t="inlineStr">
        <is>
          <t>TimberTech RadianceRail (Premium)</t>
        </is>
      </c>
      <c r="B31" s="56" t="n">
        <v>150</v>
      </c>
      <c r="C31" s="56" t="n">
        <v>60</v>
      </c>
      <c r="D31" s="26" t="inlineStr">
        <is>
          <t>Premium capped composite/PVC railing, drink-rail capable. Top TimberTech rail tier.</t>
        </is>
      </c>
      <c r="E31" s="26" t="inlineStr">
        <is>
          <t>Market research 2026-06. sell = material x 2.5. CONFIRM.</t>
        </is>
      </c>
    </row>
    <row r="33" ht="22" customHeight="1">
      <c r="A33" s="7" t="inlineStr">
        <is>
          <t>Framing Materials</t>
        </is>
      </c>
    </row>
    <row r="34">
      <c r="A34" s="25" t="inlineStr">
        <is>
          <t>Name</t>
        </is>
      </c>
      <c r="B34" s="25" t="inlineStr">
        <is>
          <t>Sell $/SF</t>
        </is>
      </c>
      <c r="C34" s="25" t="inlineStr">
        <is>
          <t>Material $/SF</t>
        </is>
      </c>
      <c r="D34" s="25" t="inlineStr">
        <is>
          <t>Description</t>
        </is>
      </c>
      <c r="E34" s="25" t="inlineStr">
        <is>
          <t>Source</t>
        </is>
      </c>
      <c r="F34" s="25" t="inlineStr"/>
    </row>
    <row r="35">
      <c r="A35" s="26" t="inlineStr">
        <is>
          <t>KDAT Pressure-Treated</t>
        </is>
      </c>
      <c r="B35" s="58" t="n">
        <v>38</v>
      </c>
      <c r="C35" s="58" t="n">
        <v>12</v>
      </c>
      <c r="D35" s="26" t="inlineStr">
        <is>
          <t>Kiln-dried-after-treatment PT lumber. Code-compliant for ground contact. CWDB standard.</t>
        </is>
      </c>
      <c r="E35" s="26" t="inlineStr">
        <is>
          <t>John Garcia spreadsheet (verified 2026-05)</t>
        </is>
      </c>
    </row>
    <row r="36">
      <c r="A36" s="26" t="inlineStr">
        <is>
          <t>Steel (Fortress Evolution)</t>
        </is>
      </c>
      <c r="B36" s="58" t="n">
        <v>52</v>
      </c>
      <c r="C36" s="58" t="n">
        <v>28</v>
      </c>
      <c r="D36" s="26" t="inlineStr">
        <is>
          <t>Galvanized steel deck framing. Premium tier - rare residential WI. Sell on warranty + fire resistance + no rot. Special order through Fortress dealer.</t>
        </is>
      </c>
      <c r="E36" s="26" t="inlineStr">
        <is>
          <t>HomeAdvisor + Fortress BP 2026-05 (industry avg)</t>
        </is>
      </c>
    </row>
    <row r="38" ht="22" customHeight="1">
      <c r="A38" s="7" t="inlineStr">
        <is>
          <t>Demo Rates by Project Type</t>
        </is>
      </c>
    </row>
    <row r="39">
      <c r="A39" s="25" t="inlineStr">
        <is>
          <t>Project Type</t>
        </is>
      </c>
      <c r="B39" s="25" t="inlineStr">
        <is>
          <t>Demo $/SF</t>
        </is>
      </c>
      <c r="C39" s="25" t="inlineStr"/>
      <c r="D39" s="25" t="inlineStr"/>
      <c r="E39" s="25" t="inlineStr"/>
      <c r="F39" s="25" t="inlineStr"/>
    </row>
    <row r="40">
      <c r="A40" s="26" t="inlineStr">
        <is>
          <t>Stain Only</t>
        </is>
      </c>
      <c r="B40" s="58" t="n">
        <v>0</v>
      </c>
    </row>
    <row r="41">
      <c r="A41" s="26" t="inlineStr">
        <is>
          <t>Stain + Minor Repairs</t>
        </is>
      </c>
      <c r="B41" s="58" t="n">
        <v>0</v>
      </c>
    </row>
    <row r="42">
      <c r="A42" s="26" t="inlineStr">
        <is>
          <t>Resurface (Boards Only)</t>
        </is>
      </c>
      <c r="B42" s="58" t="n">
        <v>3</v>
      </c>
    </row>
    <row r="43">
      <c r="A43" s="26" t="inlineStr">
        <is>
          <t>Frame + Deck Rebuild (Keep Footings)</t>
        </is>
      </c>
      <c r="B43" s="58" t="n">
        <v>6</v>
      </c>
    </row>
    <row r="44">
      <c r="A44" s="26" t="inlineStr">
        <is>
          <t>Full Tear-Out + New Build</t>
        </is>
      </c>
      <c r="B44" s="58" t="n">
        <v>8</v>
      </c>
    </row>
    <row r="45">
      <c r="A45" s="26" t="inlineStr">
        <is>
          <t>New Build (No Tear-Out)</t>
        </is>
      </c>
      <c r="B45" s="58" t="n">
        <v>0</v>
      </c>
    </row>
    <row r="46">
      <c r="A46" s="26" t="inlineStr">
        <is>
          <t>Fence</t>
        </is>
      </c>
      <c r="B46" s="58" t="n">
        <v>0</v>
      </c>
    </row>
    <row r="48" ht="22" customHeight="1">
      <c r="A48" s="7" t="inlineStr">
        <is>
          <t>Stain Rates</t>
        </is>
      </c>
    </row>
    <row r="49">
      <c r="A49" s="25" t="inlineStr">
        <is>
          <t>Stain Type</t>
        </is>
      </c>
      <c r="B49" s="25" t="inlineStr">
        <is>
          <t>Coats</t>
        </is>
      </c>
      <c r="C49" s="25" t="inlineStr">
        <is>
          <t>$/SF (combined)</t>
        </is>
      </c>
      <c r="D49" s="25" t="inlineStr">
        <is>
          <t>Key</t>
        </is>
      </c>
      <c r="E49" s="25" t="inlineStr"/>
      <c r="F49" s="25" t="inlineStr"/>
    </row>
    <row r="50">
      <c r="A50" s="26" t="inlineStr">
        <is>
          <t>Transparent</t>
        </is>
      </c>
      <c r="B50" s="15" t="n">
        <v>1</v>
      </c>
      <c r="C50" s="58" t="n">
        <v>2.75</v>
      </c>
      <c r="D50" s="26" t="inlineStr">
        <is>
          <t>Transparent|1</t>
        </is>
      </c>
    </row>
    <row r="51">
      <c r="A51" s="26" t="inlineStr">
        <is>
          <t>Transparent</t>
        </is>
      </c>
      <c r="B51" s="15" t="n">
        <v>2</v>
      </c>
      <c r="C51" s="58" t="n">
        <v>4.4</v>
      </c>
      <c r="D51" s="26" t="inlineStr">
        <is>
          <t>Transparent|2</t>
        </is>
      </c>
    </row>
    <row r="52">
      <c r="A52" s="26" t="inlineStr">
        <is>
          <t>Semi-Transparent</t>
        </is>
      </c>
      <c r="B52" s="15" t="n">
        <v>1</v>
      </c>
      <c r="C52" s="58" t="n">
        <v>3.25</v>
      </c>
      <c r="D52" s="26" t="inlineStr">
        <is>
          <t>Semi-Transparent|1</t>
        </is>
      </c>
    </row>
    <row r="53">
      <c r="A53" s="26" t="inlineStr">
        <is>
          <t>Semi-Transparent</t>
        </is>
      </c>
      <c r="B53" s="15" t="n">
        <v>2</v>
      </c>
      <c r="C53" s="58" t="n">
        <v>5.2</v>
      </c>
      <c r="D53" s="26" t="inlineStr">
        <is>
          <t>Semi-Transparent|2</t>
        </is>
      </c>
    </row>
    <row r="54">
      <c r="A54" s="26" t="inlineStr">
        <is>
          <t>Solid / Paint-and-Sealer</t>
        </is>
      </c>
      <c r="B54" s="15" t="n">
        <v>1</v>
      </c>
      <c r="C54" s="58" t="n">
        <v>3.75</v>
      </c>
      <c r="D54" s="26" t="inlineStr">
        <is>
          <t>Solid / Paint-and-Sealer|1</t>
        </is>
      </c>
    </row>
    <row r="55">
      <c r="A55" s="26" t="inlineStr">
        <is>
          <t>Solid / Paint-and-Sealer</t>
        </is>
      </c>
      <c r="B55" s="15" t="n">
        <v>2</v>
      </c>
      <c r="C55" s="58" t="n">
        <v>6</v>
      </c>
      <c r="D55" s="26" t="inlineStr">
        <is>
          <t>Solid / Paint-and-Sealer|2</t>
        </is>
      </c>
    </row>
    <row r="57" ht="22" customHeight="1">
      <c r="A57" s="7" t="inlineStr">
        <is>
          <t>Repair Rates</t>
        </is>
      </c>
    </row>
    <row r="58">
      <c r="A58" s="26" t="inlineStr">
        <is>
          <t>Board Replacement $/board</t>
        </is>
      </c>
      <c r="B58" s="56" t="n">
        <v>60</v>
      </c>
    </row>
    <row r="59">
      <c r="A59" s="26" t="inlineStr">
        <is>
          <t>Joist Repair $/LF</t>
        </is>
      </c>
      <c r="B59" s="56" t="n">
        <v>32</v>
      </c>
    </row>
    <row r="60">
      <c r="A60" s="26" t="inlineStr">
        <is>
          <t>Hardware Allowance $/job</t>
        </is>
      </c>
      <c r="B60" s="56" t="n">
        <v>450</v>
      </c>
    </row>
    <row r="61">
      <c r="A61" s="26" t="inlineStr">
        <is>
          <t>Inspection-only Allowance $/job</t>
        </is>
      </c>
      <c r="B61" s="56" t="n">
        <v>275</v>
      </c>
    </row>
    <row r="63" ht="22" customHeight="1">
      <c r="A63" s="7" t="inlineStr">
        <is>
          <t>Condition Multipliers - Height</t>
        </is>
      </c>
    </row>
    <row r="64">
      <c r="A64" s="26" t="inlineStr">
        <is>
          <t>1 Story / Low</t>
        </is>
      </c>
      <c r="B64" s="28" t="n">
        <v>1</v>
      </c>
    </row>
    <row r="65">
      <c r="A65" s="26" t="inlineStr">
        <is>
          <t>2 Story / Elevated</t>
        </is>
      </c>
      <c r="B65" s="28" t="n">
        <v>1.22</v>
      </c>
    </row>
    <row r="67" ht="22" customHeight="1">
      <c r="A67" s="7" t="inlineStr">
        <is>
          <t>Condition Multipliers - Grade</t>
        </is>
      </c>
    </row>
    <row r="68">
      <c r="A68" s="26" t="inlineStr">
        <is>
          <t>Flat / Normal Access</t>
        </is>
      </c>
      <c r="B68" s="28" t="n">
        <v>1</v>
      </c>
    </row>
    <row r="69">
      <c r="A69" s="26" t="inlineStr">
        <is>
          <t>Mild Slope</t>
        </is>
      </c>
      <c r="B69" s="28" t="n">
        <v>1.1</v>
      </c>
    </row>
    <row r="70">
      <c r="A70" s="26" t="inlineStr">
        <is>
          <t>Steep Slope</t>
        </is>
      </c>
      <c r="B70" s="28" t="n">
        <v>1.22</v>
      </c>
    </row>
    <row r="72" ht="22" customHeight="1">
      <c r="A72" s="7" t="inlineStr">
        <is>
          <t>Condition Multipliers - Complexity</t>
        </is>
      </c>
    </row>
    <row r="73">
      <c r="A73" s="26" t="inlineStr">
        <is>
          <t>Simple Rectangle</t>
        </is>
      </c>
      <c r="B73" s="28" t="n">
        <v>1</v>
      </c>
    </row>
    <row r="74">
      <c r="A74" s="26" t="inlineStr">
        <is>
          <t>Bump Outs / Angles</t>
        </is>
      </c>
      <c r="B74" s="28" t="n">
        <v>1.12</v>
      </c>
    </row>
    <row r="75">
      <c r="A75" s="26" t="inlineStr">
        <is>
          <t>Multi-Level / Complex</t>
        </is>
      </c>
      <c r="B75" s="28" t="n">
        <v>1.25</v>
      </c>
    </row>
    <row r="77" ht="22" customHeight="1">
      <c r="A77" s="7" t="inlineStr">
        <is>
          <t>Condition Multipliers - Market Load</t>
        </is>
      </c>
    </row>
    <row r="78">
      <c r="A78" s="26" t="inlineStr">
        <is>
          <t>Normal Schedule</t>
        </is>
      </c>
      <c r="B78" s="28" t="n">
        <v>1</v>
      </c>
    </row>
    <row r="79">
      <c r="A79" s="26" t="inlineStr">
        <is>
          <t>Busy Season</t>
        </is>
      </c>
      <c r="B79" s="28" t="n">
        <v>1.08</v>
      </c>
    </row>
    <row r="80">
      <c r="A80" s="26" t="inlineStr">
        <is>
          <t>Winter / Difficult Timing</t>
        </is>
      </c>
      <c r="B80" s="28" t="n">
        <v>1.15</v>
      </c>
    </row>
    <row r="82" ht="22" customHeight="1">
      <c r="A82" s="7" t="inlineStr">
        <is>
          <t>Stair Pricing</t>
        </is>
      </c>
    </row>
    <row r="83">
      <c r="A83" s="26" t="inlineStr">
        <is>
          <t>Stair Base Setup</t>
        </is>
      </c>
      <c r="B83" s="56" t="n">
        <v>1800</v>
      </c>
    </row>
    <row r="84">
      <c r="A84" s="26" t="inlineStr">
        <is>
          <t>Cost per Tread</t>
        </is>
      </c>
      <c r="B84" s="56" t="n">
        <v>275</v>
      </c>
    </row>
    <row r="85">
      <c r="A85" s="26" t="inlineStr">
        <is>
          <t>Cost per Landing</t>
        </is>
      </c>
      <c r="B85" s="56" t="n">
        <v>1800</v>
      </c>
    </row>
    <row r="86">
      <c r="A86" s="26" t="inlineStr">
        <is>
          <t>Wraparound Stair Premium</t>
        </is>
      </c>
      <c r="B86" s="56" t="n">
        <v>1500</v>
      </c>
    </row>
    <row r="87">
      <c r="A87" s="26" t="inlineStr">
        <is>
          <t>Double Border Stairs $/tread</t>
        </is>
      </c>
      <c r="B87" s="56" t="n">
        <v>45</v>
      </c>
    </row>
    <row r="89" ht="22" customHeight="1">
      <c r="A89" s="7" t="inlineStr">
        <is>
          <t>Border Pricing</t>
        </is>
      </c>
    </row>
    <row r="90">
      <c r="A90" s="26" t="inlineStr">
        <is>
          <t>Pencil Border $/SF</t>
        </is>
      </c>
      <c r="B90" s="58" t="n">
        <v>0</v>
      </c>
    </row>
    <row r="91">
      <c r="A91" s="26" t="inlineStr">
        <is>
          <t>Double Border $/SF</t>
        </is>
      </c>
      <c r="B91" s="58" t="n">
        <v>7</v>
      </c>
    </row>
    <row r="93" ht="22" customHeight="1">
      <c r="A93" s="7" t="inlineStr">
        <is>
          <t>Other Per-Unit Rates</t>
        </is>
      </c>
    </row>
    <row r="94">
      <c r="A94" s="26" t="inlineStr">
        <is>
          <t>Fascia $/LF</t>
        </is>
      </c>
      <c r="B94" s="56" t="n">
        <v>38</v>
      </c>
    </row>
    <row r="95">
      <c r="A95" s="26" t="inlineStr">
        <is>
          <t>Skirting / Privacy Wall $/SF</t>
        </is>
      </c>
      <c r="B95" s="56" t="n">
        <v>45</v>
      </c>
    </row>
    <row r="97" ht="22" customHeight="1">
      <c r="A97" s="7" t="inlineStr">
        <is>
          <t>Adders (Optional Upgrades)</t>
        </is>
      </c>
    </row>
    <row r="98">
      <c r="A98" s="25" t="inlineStr">
        <is>
          <t>Adder</t>
        </is>
      </c>
      <c r="B98" s="25" t="inlineStr">
        <is>
          <t>Unit</t>
        </is>
      </c>
      <c r="C98" s="25" t="inlineStr">
        <is>
          <t>Price</t>
        </is>
      </c>
      <c r="D98" s="25" t="inlineStr">
        <is>
          <t>Key</t>
        </is>
      </c>
      <c r="E98" s="25" t="inlineStr"/>
      <c r="F98" s="25" t="inlineStr"/>
    </row>
    <row r="99">
      <c r="A99" s="26" t="inlineStr">
        <is>
          <t>Deck Lighting</t>
        </is>
      </c>
      <c r="B99" s="26" t="inlineStr">
        <is>
          <t>Fixture</t>
        </is>
      </c>
      <c r="C99" s="56" t="n">
        <v>225</v>
      </c>
      <c r="D99" s="26" t="inlineStr">
        <is>
          <t>lighting</t>
        </is>
      </c>
    </row>
    <row r="100">
      <c r="A100" s="26" t="inlineStr">
        <is>
          <t>Built-In Bench</t>
        </is>
      </c>
      <c r="B100" s="26" t="inlineStr">
        <is>
          <t>Each</t>
        </is>
      </c>
      <c r="C100" s="56" t="n">
        <v>1200</v>
      </c>
      <c r="D100" s="26" t="inlineStr">
        <is>
          <t>bench</t>
        </is>
      </c>
    </row>
    <row r="101">
      <c r="A101" s="26" t="inlineStr">
        <is>
          <t>Privacy Screen</t>
        </is>
      </c>
      <c r="B101" s="26" t="inlineStr">
        <is>
          <t>LF</t>
        </is>
      </c>
      <c r="C101" s="56" t="n">
        <v>175</v>
      </c>
      <c r="D101" s="26" t="inlineStr">
        <is>
          <t>privacy_screen</t>
        </is>
      </c>
    </row>
    <row r="102">
      <c r="A102" s="26" t="inlineStr">
        <is>
          <t>Hot Tub Structural Upgrade</t>
        </is>
      </c>
      <c r="B102" s="26" t="inlineStr">
        <is>
          <t>Allowance</t>
        </is>
      </c>
      <c r="C102" s="56" t="n">
        <v>2500</v>
      </c>
      <c r="D102" s="26" t="inlineStr">
        <is>
          <t>hot_tub</t>
        </is>
      </c>
    </row>
    <row r="103">
      <c r="A103" s="26" t="inlineStr">
        <is>
          <t>Underdeck Drainage</t>
        </is>
      </c>
      <c r="B103" s="26" t="inlineStr">
        <is>
          <t>SF</t>
        </is>
      </c>
      <c r="C103" s="56" t="n">
        <v>18</v>
      </c>
      <c r="D103" s="26" t="inlineStr">
        <is>
          <t>underdeck_drainage</t>
        </is>
      </c>
    </row>
    <row r="105" ht="22" customHeight="1">
      <c r="A105" s="7" t="inlineStr">
        <is>
          <t>Allowances (Defaults)</t>
        </is>
      </c>
    </row>
    <row r="106">
      <c r="A106" s="26" t="inlineStr">
        <is>
          <t>Permit / Engineering</t>
        </is>
      </c>
      <c r="B106" s="56" t="n">
        <v>750</v>
      </c>
    </row>
    <row r="107">
      <c r="A107" s="26" t="inlineStr">
        <is>
          <t>Dumpster / Cleanup</t>
        </is>
      </c>
      <c r="B107" s="56" t="n">
        <v>950</v>
      </c>
    </row>
    <row r="108">
      <c r="A108" s="26" t="inlineStr">
        <is>
          <t>Mobilization Minimum</t>
        </is>
      </c>
      <c r="B108" s="56" t="n">
        <v>2500</v>
      </c>
    </row>
    <row r="109">
      <c r="A109" s="26" t="inlineStr">
        <is>
          <t>Default Misc</t>
        </is>
      </c>
      <c r="B109" s="56" t="n">
        <v>0</v>
      </c>
    </row>
    <row r="111" ht="22" customHeight="1">
      <c r="A111" s="7" t="inlineStr">
        <is>
          <t>Margin &amp; Contingency</t>
        </is>
      </c>
    </row>
    <row r="112">
      <c r="A112" s="26" t="inlineStr">
        <is>
          <t>Default Target Gross Margin</t>
        </is>
      </c>
      <c r="B112" s="57" t="n">
        <v>0.2</v>
      </c>
    </row>
    <row r="113">
      <c r="A113" s="26" t="inlineStr">
        <is>
          <t>Default Contingency Range (+/-)</t>
        </is>
      </c>
      <c r="B113" s="57" t="n">
        <v>0.08</v>
      </c>
    </row>
    <row r="115" ht="22" customHeight="1">
      <c r="A115" s="7" t="inlineStr">
        <is>
          <t>Allowances by Project Type (auto-defaults)</t>
        </is>
      </c>
    </row>
    <row r="116">
      <c r="A116" s="25" t="inlineStr">
        <is>
          <t>Project Type</t>
        </is>
      </c>
      <c r="B116" s="25" t="inlineStr">
        <is>
          <t>Permit $</t>
        </is>
      </c>
      <c r="C116" s="25" t="inlineStr">
        <is>
          <t>Dumpster $</t>
        </is>
      </c>
      <c r="D116" s="25" t="inlineStr">
        <is>
          <t>Mobilization $</t>
        </is>
      </c>
      <c r="E116" s="25" t="inlineStr"/>
      <c r="F116" s="25" t="inlineStr"/>
    </row>
    <row r="117">
      <c r="A117" s="26" t="inlineStr">
        <is>
          <t>Stain Only</t>
        </is>
      </c>
      <c r="B117" s="56" t="n">
        <v>0</v>
      </c>
      <c r="C117" s="56" t="n">
        <v>250</v>
      </c>
      <c r="D117" s="56" t="n">
        <v>500</v>
      </c>
    </row>
    <row r="118">
      <c r="A118" s="26" t="inlineStr">
        <is>
          <t>Stain + Minor Repairs</t>
        </is>
      </c>
      <c r="B118" s="56" t="n">
        <v>0</v>
      </c>
      <c r="C118" s="56" t="n">
        <v>350</v>
      </c>
      <c r="D118" s="56" t="n">
        <v>750</v>
      </c>
    </row>
    <row r="119">
      <c r="A119" s="26" t="inlineStr">
        <is>
          <t>Resurface (Boards Only)</t>
        </is>
      </c>
      <c r="B119" s="56" t="n">
        <v>250</v>
      </c>
      <c r="C119" s="56" t="n">
        <v>600</v>
      </c>
      <c r="D119" s="56" t="n">
        <v>1500</v>
      </c>
    </row>
    <row r="120">
      <c r="A120" s="26" t="inlineStr">
        <is>
          <t>Frame + Deck Rebuild (Keep Footings)</t>
        </is>
      </c>
      <c r="B120" s="56" t="n">
        <v>500</v>
      </c>
      <c r="C120" s="56" t="n">
        <v>950</v>
      </c>
      <c r="D120" s="56" t="n">
        <v>2500</v>
      </c>
    </row>
    <row r="121">
      <c r="A121" s="26" t="inlineStr">
        <is>
          <t>Full Tear-Out + New Build</t>
        </is>
      </c>
      <c r="B121" s="56" t="n">
        <v>750</v>
      </c>
      <c r="C121" s="56" t="n">
        <v>950</v>
      </c>
      <c r="D121" s="56" t="n">
        <v>2500</v>
      </c>
    </row>
    <row r="122">
      <c r="A122" s="26" t="inlineStr">
        <is>
          <t>New Build (No Tear-Out)</t>
        </is>
      </c>
      <c r="B122" s="56" t="n">
        <v>750</v>
      </c>
      <c r="C122" s="56" t="n">
        <v>350</v>
      </c>
      <c r="D122" s="56" t="n">
        <v>2500</v>
      </c>
    </row>
    <row r="123">
      <c r="A123" s="26" t="inlineStr">
        <is>
          <t>Fence</t>
        </is>
      </c>
      <c r="B123" s="56" t="n">
        <v>200</v>
      </c>
      <c r="C123" s="56" t="n">
        <v>200</v>
      </c>
      <c r="D123" s="56" t="n">
        <v>750</v>
      </c>
    </row>
    <row r="125" ht="22" customHeight="1">
      <c r="A125" s="7" t="inlineStr">
        <is>
          <t>Fence Materials ($/LF by height)</t>
        </is>
      </c>
    </row>
    <row r="126">
      <c r="A126" s="25" t="inlineStr">
        <is>
          <t>Material</t>
        </is>
      </c>
      <c r="B126" s="25" t="n">
        <v>4</v>
      </c>
      <c r="C126" s="25" t="n">
        <v>5</v>
      </c>
      <c r="D126" s="25" t="n">
        <v>6</v>
      </c>
      <c r="E126" s="25" t="n">
        <v>8</v>
      </c>
      <c r="F126" s="25" t="inlineStr"/>
    </row>
    <row r="127">
      <c r="A127" s="26" t="inlineStr">
        <is>
          <t>Wood Privacy (Cedar / PT)</t>
        </is>
      </c>
      <c r="B127" s="58" t="n">
        <v>24</v>
      </c>
      <c r="C127" s="58" t="n">
        <v>28</v>
      </c>
      <c r="D127" s="58" t="n">
        <v>33</v>
      </c>
      <c r="E127" s="58" t="n">
        <v>45</v>
      </c>
    </row>
    <row r="128">
      <c r="A128" s="26" t="inlineStr">
        <is>
          <t>Vinyl Privacy</t>
        </is>
      </c>
      <c r="B128" s="58" t="n">
        <v>34</v>
      </c>
      <c r="C128" s="58" t="n">
        <v>38</v>
      </c>
      <c r="D128" s="58" t="n">
        <v>45</v>
      </c>
      <c r="E128" s="58" t="n">
        <v>58</v>
      </c>
    </row>
    <row r="129">
      <c r="A129" s="26" t="inlineStr">
        <is>
          <t>Aluminum Ornamental</t>
        </is>
      </c>
      <c r="B129" s="58" t="n">
        <v>34</v>
      </c>
      <c r="C129" s="58" t="n">
        <v>40</v>
      </c>
      <c r="D129" s="58" t="n">
        <v>48</v>
      </c>
      <c r="E129" s="58" t="n">
        <v>0</v>
      </c>
    </row>
    <row r="130">
      <c r="A130" s="26" t="inlineStr">
        <is>
          <t>Chain Link (Galvanized)</t>
        </is>
      </c>
      <c r="B130" s="58" t="n">
        <v>16</v>
      </c>
      <c r="C130" s="58" t="n">
        <v>19</v>
      </c>
      <c r="D130" s="58" t="n">
        <v>22</v>
      </c>
      <c r="E130" s="58" t="n">
        <v>30</v>
      </c>
    </row>
    <row r="132" ht="22" customHeight="1">
      <c r="A132" s="7" t="inlineStr">
        <is>
          <t>Fence Gates &amp; Other</t>
        </is>
      </c>
    </row>
    <row r="133">
      <c r="A133" s="26" t="inlineStr">
        <is>
          <t>Walk gate $/each</t>
        </is>
      </c>
      <c r="B133" s="56" t="n">
        <v>300</v>
      </c>
    </row>
    <row r="134">
      <c r="A134" s="26" t="inlineStr">
        <is>
          <t>Drive / double gate $/each</t>
        </is>
      </c>
      <c r="B134" s="56" t="n">
        <v>700</v>
      </c>
    </row>
    <row r="135">
      <c r="A135" s="26" t="inlineStr">
        <is>
          <t>Tear-out existing fence $/LF</t>
        </is>
      </c>
      <c r="B135" s="56" t="n">
        <v>6</v>
      </c>
    </row>
    <row r="136">
      <c r="A136" s="26" t="inlineStr">
        <is>
          <t>Fence mobilization default</t>
        </is>
      </c>
      <c r="B136" s="56" t="n">
        <v>750</v>
      </c>
    </row>
    <row r="138" ht="22" customHeight="1">
      <c r="A138" s="7" t="inlineStr">
        <is>
          <t>Materials Unit Costs (edit yellow cells)</t>
        </is>
      </c>
    </row>
    <row r="139">
      <c r="A139" s="25" t="inlineStr">
        <is>
          <t>Key (do not edit)</t>
        </is>
      </c>
      <c r="B139" s="25" t="inlineStr">
        <is>
          <t>Description</t>
        </is>
      </c>
      <c r="C139" s="25" t="inlineStr">
        <is>
          <t>Unit</t>
        </is>
      </c>
      <c r="D139" s="25" t="inlineStr">
        <is>
          <t>Price</t>
        </is>
      </c>
      <c r="E139" s="25" t="inlineStr">
        <is>
          <t>Source</t>
        </is>
      </c>
      <c r="F139" s="25" t="inlineStr"/>
    </row>
    <row r="140">
      <c r="A140" s="26" t="inlineStr">
        <is>
          <t>joist_hanger_2x10</t>
        </is>
      </c>
      <c r="B140" s="26" t="inlineStr">
        <is>
          <t>Joist hanger (Simpson LUS28 or equiv) for 2x10 joist</t>
        </is>
      </c>
      <c r="C140" s="26" t="inlineStr">
        <is>
          <t>each</t>
        </is>
      </c>
      <c r="D140" s="58" t="n">
        <v>1.79</v>
      </c>
      <c r="E140" s="26" t="inlineStr">
        <is>
          <t>Simpson Strong-Tie - Menards est</t>
        </is>
      </c>
    </row>
    <row r="141">
      <c r="A141" s="26" t="inlineStr">
        <is>
          <t>hurricane_tie</t>
        </is>
      </c>
      <c r="B141" s="26" t="inlineStr">
        <is>
          <t>Hurricane tie (Simpson H1)</t>
        </is>
      </c>
      <c r="C141" s="26" t="inlineStr">
        <is>
          <t>each</t>
        </is>
      </c>
      <c r="D141" s="58" t="n">
        <v>0.79</v>
      </c>
      <c r="E141" s="26" t="inlineStr">
        <is>
          <t>Menards est</t>
        </is>
      </c>
    </row>
    <row r="142">
      <c r="A142" s="26" t="inlineStr">
        <is>
          <t>ledger_lag_screw</t>
        </is>
      </c>
      <c r="B142" s="26" t="inlineStr">
        <is>
          <t>1/2" x 4" hex lag screw (ledger to rim)</t>
        </is>
      </c>
      <c r="C142" s="26" t="inlineStr">
        <is>
          <t>each</t>
        </is>
      </c>
      <c r="D142" s="58" t="n">
        <v>0.89</v>
      </c>
      <c r="E142" s="26" t="inlineStr">
        <is>
          <t>Menards est</t>
        </is>
      </c>
    </row>
    <row r="143">
      <c r="A143" s="26" t="inlineStr">
        <is>
          <t>deck_screw_box_5lb</t>
        </is>
      </c>
      <c r="B143" s="26" t="inlineStr">
        <is>
          <t>3" stainless deck screws, 5 lb box (approx 350 ct)</t>
        </is>
      </c>
      <c r="C143" s="26" t="inlineStr">
        <is>
          <t>box</t>
        </is>
      </c>
      <c r="D143" s="58" t="n">
        <v>32.99</v>
      </c>
      <c r="E143" s="26" t="inlineStr">
        <is>
          <t>Menards est</t>
        </is>
      </c>
    </row>
    <row r="144">
      <c r="A144" s="26" t="inlineStr">
        <is>
          <t>hidden_fastener_box</t>
        </is>
      </c>
      <c r="B144" s="26" t="inlineStr">
        <is>
          <t>Hidden deck fasteners (Trex CONNECT or equiv) 50 ct</t>
        </is>
      </c>
      <c r="C144" s="26" t="inlineStr">
        <is>
          <t>box</t>
        </is>
      </c>
      <c r="D144" s="58" t="n">
        <v>29.99</v>
      </c>
      <c r="E144" s="26" t="inlineStr">
        <is>
          <t>Menards est</t>
        </is>
      </c>
    </row>
    <row r="145">
      <c r="A145" s="26" t="inlineStr">
        <is>
          <t>construction_adhesive</t>
        </is>
      </c>
      <c r="B145" s="26" t="inlineStr">
        <is>
          <t>Construction adhesive (PL Premium 10 oz tube)</t>
        </is>
      </c>
      <c r="C145" s="26" t="inlineStr">
        <is>
          <t>tube</t>
        </is>
      </c>
      <c r="D145" s="58" t="n">
        <v>5.49</v>
      </c>
      <c r="E145" s="26" t="inlineStr">
        <is>
          <t>Menards est</t>
        </is>
      </c>
    </row>
    <row r="146">
      <c r="A146" s="26" t="inlineStr">
        <is>
          <t>kdat_2x10x16</t>
        </is>
      </c>
      <c r="B146" s="26" t="inlineStr">
        <is>
          <t>KDAT PT 2x10x16 (joist/beam/ledger)</t>
        </is>
      </c>
      <c r="C146" s="26" t="inlineStr">
        <is>
          <t>each</t>
        </is>
      </c>
      <c r="D146" s="58" t="n">
        <v>28.99</v>
      </c>
      <c r="E146" s="26" t="inlineStr">
        <is>
          <t>Menards est</t>
        </is>
      </c>
    </row>
    <row r="147">
      <c r="A147" s="26" t="inlineStr">
        <is>
          <t>kdat_2x8x16</t>
        </is>
      </c>
      <c r="B147" s="26" t="inlineStr">
        <is>
          <t>KDAT PT 2x8x16 (joist for smaller decks)</t>
        </is>
      </c>
      <c r="C147" s="26" t="inlineStr">
        <is>
          <t>each</t>
        </is>
      </c>
      <c r="D147" s="58" t="n">
        <v>22.99</v>
      </c>
      <c r="E147" s="26" t="inlineStr">
        <is>
          <t>Menards est</t>
        </is>
      </c>
    </row>
    <row r="148">
      <c r="A148" s="26" t="inlineStr">
        <is>
          <t>kdat_6x6x8</t>
        </is>
      </c>
      <c r="B148" s="26" t="inlineStr">
        <is>
          <t>KDAT PT 6x6x8 (post)</t>
        </is>
      </c>
      <c r="C148" s="26" t="inlineStr">
        <is>
          <t>each</t>
        </is>
      </c>
      <c r="D148" s="58" t="n">
        <v>39.99</v>
      </c>
      <c r="E148" s="26" t="inlineStr">
        <is>
          <t>Menards est</t>
        </is>
      </c>
    </row>
    <row r="149">
      <c r="A149" s="26" t="inlineStr">
        <is>
          <t>kdat_4x4x8</t>
        </is>
      </c>
      <c r="B149" s="26" t="inlineStr">
        <is>
          <t>KDAT PT 4x4x8 (light-duty post / rail post)</t>
        </is>
      </c>
      <c r="C149" s="26" t="inlineStr">
        <is>
          <t>each</t>
        </is>
      </c>
      <c r="D149" s="58" t="n">
        <v>14.99</v>
      </c>
      <c r="E149" s="26" t="inlineStr">
        <is>
          <t>Menards est</t>
        </is>
      </c>
    </row>
    <row r="150">
      <c r="A150" s="26" t="inlineStr">
        <is>
          <t>pt_2x4x8</t>
        </is>
      </c>
      <c r="B150" s="26" t="inlineStr">
        <is>
          <t>AC2 PT 2x4x8 (railing top/bottom rail)</t>
        </is>
      </c>
      <c r="C150" s="26" t="inlineStr">
        <is>
          <t>each</t>
        </is>
      </c>
      <c r="D150" s="58" t="n">
        <v>6.39</v>
      </c>
      <c r="E150" s="26" t="inlineStr">
        <is>
          <t>Menards SKU 1110818</t>
        </is>
      </c>
    </row>
    <row r="151">
      <c r="A151" s="26" t="inlineStr">
        <is>
          <t>cedar_2x4x8</t>
        </is>
      </c>
      <c r="B151" s="26" t="inlineStr">
        <is>
          <t>Cedar 2x4x8 (railing top/bottom rail)</t>
        </is>
      </c>
      <c r="C151" s="26" t="inlineStr">
        <is>
          <t>each</t>
        </is>
      </c>
      <c r="D151" s="58" t="n">
        <v>11.99</v>
      </c>
      <c r="E151" s="26" t="inlineStr">
        <is>
          <t>Menards SKU 1072752 (fallback)</t>
        </is>
      </c>
    </row>
    <row r="152">
      <c r="A152" s="26" t="inlineStr">
        <is>
          <t>pt_2x2x42</t>
        </is>
      </c>
      <c r="B152" s="26" t="inlineStr">
        <is>
          <t>PT 2x2x42 baluster</t>
        </is>
      </c>
      <c r="C152" s="26" t="inlineStr">
        <is>
          <t>each</t>
        </is>
      </c>
      <c r="D152" s="58" t="n">
        <v>3.99</v>
      </c>
      <c r="E152" s="26" t="inlineStr">
        <is>
          <t>Menards est</t>
        </is>
      </c>
    </row>
    <row r="153">
      <c r="A153" s="26" t="inlineStr">
        <is>
          <t>cedar_2x2x42</t>
        </is>
      </c>
      <c r="B153" s="26" t="inlineStr">
        <is>
          <t>Cedar 2x2x42 baluster</t>
        </is>
      </c>
      <c r="C153" s="26" t="inlineStr">
        <is>
          <t>each</t>
        </is>
      </c>
      <c r="D153" s="58" t="n">
        <v>7.99</v>
      </c>
      <c r="E153" s="26" t="inlineStr">
        <is>
          <t>Menards est</t>
        </is>
      </c>
    </row>
    <row r="154">
      <c r="A154" s="26" t="inlineStr">
        <is>
          <t>concrete_tube_12x48</t>
        </is>
      </c>
      <c r="B154" s="26" t="inlineStr">
        <is>
          <t>Concrete tube form 12" x 48" (frost-line footing)</t>
        </is>
      </c>
      <c r="C154" s="26" t="inlineStr">
        <is>
          <t>each</t>
        </is>
      </c>
      <c r="D154" s="58" t="n">
        <v>12.99</v>
      </c>
      <c r="E154" s="26" t="inlineStr">
        <is>
          <t>QUIK-TUBE Menards</t>
        </is>
      </c>
    </row>
    <row r="155">
      <c r="A155" s="26" t="inlineStr">
        <is>
          <t>concrete_bag_60lb</t>
        </is>
      </c>
      <c r="B155" s="26" t="inlineStr">
        <is>
          <t>Concrete mix 60 lb bag (QUIKRETE or equiv)</t>
        </is>
      </c>
      <c r="C155" s="26" t="inlineStr">
        <is>
          <t>bag</t>
        </is>
      </c>
      <c r="D155" s="58" t="n">
        <v>4.79</v>
      </c>
      <c r="E155" s="26" t="inlineStr">
        <is>
          <t>Menards est</t>
        </is>
      </c>
    </row>
    <row r="156">
      <c r="A156" s="26" t="inlineStr">
        <is>
          <t>rebar_half_x_4ft</t>
        </is>
      </c>
      <c r="B156" s="26" t="inlineStr">
        <is>
          <t>Rebar 1/2" x 4 ft</t>
        </is>
      </c>
      <c r="C156" s="26" t="inlineStr">
        <is>
          <t>each</t>
        </is>
      </c>
      <c r="D156" s="58" t="n">
        <v>3.99</v>
      </c>
      <c r="E156" s="26" t="inlineStr">
        <is>
          <t>Menards est</t>
        </is>
      </c>
    </row>
    <row r="157">
      <c r="A157" s="26" t="inlineStr">
        <is>
          <t>trex_alum_rail_6ft</t>
        </is>
      </c>
      <c r="B157" s="26" t="inlineStr">
        <is>
          <t>Trex Signature aluminum railing section, 6 ft kit</t>
        </is>
      </c>
      <c r="C157" s="26" t="inlineStr">
        <is>
          <t>kit</t>
        </is>
      </c>
      <c r="D157" s="58" t="n">
        <v>219</v>
      </c>
      <c r="E157" s="26" t="inlineStr">
        <is>
          <t>Trex dealer est</t>
        </is>
      </c>
    </row>
    <row r="158">
      <c r="A158" s="26" t="inlineStr">
        <is>
          <t>trex_alum_post_kit</t>
        </is>
      </c>
      <c r="B158" s="26" t="inlineStr">
        <is>
          <t>Trex Signature aluminum post + base kit</t>
        </is>
      </c>
      <c r="C158" s="26" t="inlineStr">
        <is>
          <t>kit</t>
        </is>
      </c>
      <c r="D158" s="58" t="n">
        <v>149</v>
      </c>
      <c r="E158" s="26" t="inlineStr">
        <is>
          <t>Trex dealer est</t>
        </is>
      </c>
    </row>
    <row r="159">
      <c r="A159" s="26" t="inlineStr">
        <is>
          <t>cable_rail_kit_10ft</t>
        </is>
      </c>
      <c r="B159" s="26" t="inlineStr">
        <is>
          <t>Feeney CableRail 10 ft kit (cable + tensioners)</t>
        </is>
      </c>
      <c r="C159" s="26" t="inlineStr">
        <is>
          <t>kit</t>
        </is>
      </c>
      <c r="D159" s="58" t="n">
        <v>48.88</v>
      </c>
      <c r="E159" s="26" t="inlineStr">
        <is>
          <t>Menards SKU 6310-PKG / Dunn Lumber</t>
        </is>
      </c>
    </row>
    <row r="160">
      <c r="A160" s="26" t="inlineStr">
        <is>
          <t>glass_panel_36x42</t>
        </is>
      </c>
      <c r="B160" s="26" t="inlineStr">
        <is>
          <t>Tempered glass railing panel 36" x 42"</t>
        </is>
      </c>
      <c r="C160" s="26" t="inlineStr">
        <is>
          <t>panel</t>
        </is>
      </c>
      <c r="D160" s="58" t="n">
        <v>285</v>
      </c>
      <c r="E160" s="26" t="inlineStr">
        <is>
          <t>industry est</t>
        </is>
      </c>
    </row>
    <row r="161">
      <c r="A161" s="26" t="inlineStr">
        <is>
          <t>alum_glass_post</t>
        </is>
      </c>
      <c r="B161" s="26" t="inlineStr">
        <is>
          <t>Aluminum glass railing post + glass clamp set</t>
        </is>
      </c>
      <c r="C161" s="26" t="inlineStr">
        <is>
          <t>kit</t>
        </is>
      </c>
      <c r="D161" s="58" t="n">
        <v>165</v>
      </c>
      <c r="E161" s="26" t="inlineStr">
        <is>
          <t>industry est</t>
        </is>
      </c>
    </row>
    <row r="162">
      <c r="A162" s="26" t="inlineStr">
        <is>
          <t>stain_transparent_gal</t>
        </is>
      </c>
      <c r="B162" s="26" t="inlineStr">
        <is>
          <t>Transparent stain (Ready Seal or equiv) 1 gal</t>
        </is>
      </c>
      <c r="C162" s="26" t="inlineStr">
        <is>
          <t>gal</t>
        </is>
      </c>
      <c r="D162" s="58" t="n">
        <v>39.99</v>
      </c>
      <c r="E162" s="26" t="inlineStr">
        <is>
          <t>Menards est</t>
        </is>
      </c>
    </row>
    <row r="163">
      <c r="A163" s="26" t="inlineStr">
        <is>
          <t>stain_semi_gal</t>
        </is>
      </c>
      <c r="B163" s="26" t="inlineStr">
        <is>
          <t>Semi-transparent stain (Cabot or equiv) 1 gal</t>
        </is>
      </c>
      <c r="C163" s="26" t="inlineStr">
        <is>
          <t>gal</t>
        </is>
      </c>
      <c r="D163" s="58" t="n">
        <v>49.99</v>
      </c>
      <c r="E163" s="26" t="inlineStr">
        <is>
          <t>Menards est</t>
        </is>
      </c>
    </row>
    <row r="164">
      <c r="A164" s="26" t="inlineStr">
        <is>
          <t>stain_solid_gal</t>
        </is>
      </c>
      <c r="B164" s="26" t="inlineStr">
        <is>
          <t>Solid stain / paint-and-sealer 1 gal</t>
        </is>
      </c>
      <c r="C164" s="26" t="inlineStr">
        <is>
          <t>gal</t>
        </is>
      </c>
      <c r="D164" s="58" t="n">
        <v>59.99</v>
      </c>
      <c r="E164" s="26" t="inlineStr">
        <is>
          <t>Menards est</t>
        </is>
      </c>
    </row>
    <row r="165">
      <c r="A165" s="26" t="inlineStr">
        <is>
          <t>stain_supplies_set</t>
        </is>
      </c>
      <c r="B165" s="26" t="inlineStr">
        <is>
          <t>Stain supplies set (brushes, rollers, pads, drop)</t>
        </is>
      </c>
      <c r="C165" s="26" t="inlineStr">
        <is>
          <t>set</t>
        </is>
      </c>
      <c r="D165" s="58" t="n">
        <v>75</v>
      </c>
      <c r="E165" s="26" t="inlineStr">
        <is>
          <t>Menards est</t>
        </is>
      </c>
    </row>
    <row r="166">
      <c r="A166" s="26" t="inlineStr">
        <is>
          <t>steel_framing_per_sf</t>
        </is>
      </c>
      <c r="B166" s="26" t="inlineStr">
        <is>
          <t>Fortress Evolution steel framing system</t>
        </is>
      </c>
      <c r="C166" s="26" t="inlineStr">
        <is>
          <t>SF</t>
        </is>
      </c>
      <c r="D166" s="58" t="n">
        <v>28</v>
      </c>
      <c r="E166" s="26" t="inlineStr">
        <is>
          <t>Fortress dealer est</t>
        </is>
      </c>
    </row>
    <row r="167">
      <c r="A167" s="26" t="inlineStr">
        <is>
          <t>dumpster_rental</t>
        </is>
      </c>
      <c r="B167" s="26" t="inlineStr">
        <is>
          <t>10-yard roll-off dumpster (1 week)</t>
        </is>
      </c>
      <c r="C167" s="26" t="inlineStr">
        <is>
          <t>rental</t>
        </is>
      </c>
      <c r="D167" s="58" t="n">
        <v>425</v>
      </c>
      <c r="E167" s="26" t="inlineStr">
        <is>
          <t>Wausau local est</t>
        </is>
      </c>
    </row>
    <row r="170" ht="22" customHeight="1">
      <c r="A170" s="7" t="inlineStr">
        <is>
          <t>Metadata</t>
        </is>
      </c>
    </row>
    <row r="171">
      <c r="A171" s="26" t="inlineStr">
        <is>
          <t>Pricing As-Of</t>
        </is>
      </c>
      <c r="B171" s="26" t="inlineStr">
        <is>
          <t>2026-05-28</t>
        </is>
      </c>
    </row>
    <row r="172">
      <c r="A172" s="26" t="inlineStr">
        <is>
          <t>Schema Version</t>
        </is>
      </c>
      <c r="B172" s="26" t="inlineStr">
        <is>
          <t>1.0</t>
        </is>
      </c>
    </row>
  </sheetData>
  <mergeCells count="23">
    <mergeCell ref="A89:F89"/>
    <mergeCell ref="A105:F105"/>
    <mergeCell ref="A21:F21"/>
    <mergeCell ref="A57:F57"/>
    <mergeCell ref="A2:F2"/>
    <mergeCell ref="A33:F33"/>
    <mergeCell ref="A5:F5"/>
    <mergeCell ref="A97:F97"/>
    <mergeCell ref="A72:F72"/>
    <mergeCell ref="A38:F38"/>
    <mergeCell ref="A125:F125"/>
    <mergeCell ref="A63:F63"/>
    <mergeCell ref="A170:F170"/>
    <mergeCell ref="A115:F115"/>
    <mergeCell ref="A93:F93"/>
    <mergeCell ref="A67:F67"/>
    <mergeCell ref="A111:F111"/>
    <mergeCell ref="A48:F48"/>
    <mergeCell ref="A77:F77"/>
    <mergeCell ref="A82:F82"/>
    <mergeCell ref="A138:F138"/>
    <mergeCell ref="A1:F1"/>
    <mergeCell ref="A132:F1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46760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>
      <c r="A1" s="1" t="inlineStr">
        <is>
          <t>Project Type Behavior Matrix</t>
        </is>
      </c>
    </row>
    <row r="2" ht="36" customHeight="1">
      <c r="A2" s="29" t="inlineStr">
        <is>
          <t>Read-only. Each project type tells the engine which cost buckets to include (Y), exclude (N), allow optionally (OPT), or inspect only. Multipliers: Y = all four, Light = Height + Grade only, N = none.</t>
        </is>
      </c>
    </row>
    <row r="3">
      <c r="A3" s="25" t="inlineStr">
        <is>
          <t>Project Type</t>
        </is>
      </c>
      <c r="B3" s="25" t="inlineStr">
        <is>
          <t>Demo</t>
        </is>
      </c>
      <c r="C3" s="25" t="inlineStr">
        <is>
          <t>Frame</t>
        </is>
      </c>
      <c r="D3" s="25" t="inlineStr">
        <is>
          <t>Deck</t>
        </is>
      </c>
      <c r="E3" s="25" t="inlineStr">
        <is>
          <t>Rail</t>
        </is>
      </c>
      <c r="F3" s="25" t="inlineStr">
        <is>
          <t>Stair</t>
        </is>
      </c>
      <c r="G3" s="25" t="inlineStr">
        <is>
          <t>Footing</t>
        </is>
      </c>
      <c r="H3" s="25" t="inlineStr">
        <is>
          <t>Stain</t>
        </is>
      </c>
      <c r="I3" s="25" t="inlineStr">
        <is>
          <t>Multipliers</t>
        </is>
      </c>
      <c r="J3" s="25" t="inlineStr">
        <is>
          <t>Description</t>
        </is>
      </c>
    </row>
    <row r="4" ht="30" customHeight="1">
      <c r="A4" s="26" t="inlineStr">
        <is>
          <t>Stain Only</t>
        </is>
      </c>
      <c r="B4" s="30" t="inlineStr">
        <is>
          <t>N</t>
        </is>
      </c>
      <c r="C4" s="30" t="inlineStr">
        <is>
          <t>N</t>
        </is>
      </c>
      <c r="D4" s="30" t="inlineStr">
        <is>
          <t>N</t>
        </is>
      </c>
      <c r="E4" s="30" t="inlineStr">
        <is>
          <t>N</t>
        </is>
      </c>
      <c r="F4" s="30" t="inlineStr">
        <is>
          <t>N</t>
        </is>
      </c>
      <c r="G4" s="30" t="inlineStr">
        <is>
          <t>N</t>
        </is>
      </c>
      <c r="H4" s="30" t="inlineStr">
        <is>
          <t>Y</t>
        </is>
      </c>
      <c r="I4" s="30" t="inlineStr">
        <is>
          <t>N</t>
        </is>
      </c>
      <c r="J4" s="31" t="inlineStr">
        <is>
          <t>Refinish-only job. Wash, sand, set fasteners, stain. No structural work.</t>
        </is>
      </c>
    </row>
    <row r="5" ht="30" customHeight="1">
      <c r="A5" s="26" t="inlineStr">
        <is>
          <t>Stain + Minor Repairs</t>
        </is>
      </c>
      <c r="B5" s="30" t="inlineStr">
        <is>
          <t>N</t>
        </is>
      </c>
      <c r="C5" s="30" t="inlineStr">
        <is>
          <t>N</t>
        </is>
      </c>
      <c r="D5" s="30" t="inlineStr">
        <is>
          <t>N</t>
        </is>
      </c>
      <c r="E5" s="30" t="inlineStr">
        <is>
          <t>N</t>
        </is>
      </c>
      <c r="F5" s="30" t="inlineStr">
        <is>
          <t>N</t>
        </is>
      </c>
      <c r="G5" s="30" t="inlineStr">
        <is>
          <t>N</t>
        </is>
      </c>
      <c r="H5" s="30" t="inlineStr">
        <is>
          <t>Y</t>
        </is>
      </c>
      <c r="I5" s="30" t="inlineStr">
        <is>
          <t>Light</t>
        </is>
      </c>
      <c r="J5" s="31" t="inlineStr">
        <is>
          <t>Stain plus targeted repairs - board swap, joist sister, hardware. Use Repair Bucket for repair scope. For new rail/stair systems, use Resurface or Frame Rebuild.</t>
        </is>
      </c>
    </row>
    <row r="6" ht="30" customHeight="1">
      <c r="A6" s="26" t="inlineStr">
        <is>
          <t>Resurface (Boards Only)</t>
        </is>
      </c>
      <c r="B6" s="30" t="inlineStr">
        <is>
          <t>Y</t>
        </is>
      </c>
      <c r="C6" s="30" t="inlineStr">
        <is>
          <t>Inspect</t>
        </is>
      </c>
      <c r="D6" s="30" t="inlineStr">
        <is>
          <t>Y</t>
        </is>
      </c>
      <c r="E6" s="30" t="inlineStr">
        <is>
          <t>OPT</t>
        </is>
      </c>
      <c r="F6" s="30" t="inlineStr">
        <is>
          <t>OPT</t>
        </is>
      </c>
      <c r="G6" s="30" t="inlineStr">
        <is>
          <t>N</t>
        </is>
      </c>
      <c r="H6" s="30" t="inlineStr">
        <is>
          <t>N</t>
        </is>
      </c>
      <c r="I6" s="30" t="inlineStr">
        <is>
          <t>Y</t>
        </is>
      </c>
      <c r="J6" s="31" t="inlineStr">
        <is>
          <t>Pull old boards, inspect frame, install new boards. Optional railing + stair refresh - zero out Railing LF / Stair Runs if not in scope.</t>
        </is>
      </c>
    </row>
    <row r="7" ht="30" customHeight="1">
      <c r="A7" s="26" t="inlineStr">
        <is>
          <t>Frame + Deck Rebuild (Keep Footings)</t>
        </is>
      </c>
      <c r="B7" s="30" t="inlineStr">
        <is>
          <t>Y</t>
        </is>
      </c>
      <c r="C7" s="30" t="inlineStr">
        <is>
          <t>Y</t>
        </is>
      </c>
      <c r="D7" s="30" t="inlineStr">
        <is>
          <t>Y</t>
        </is>
      </c>
      <c r="E7" s="30" t="inlineStr">
        <is>
          <t>Y</t>
        </is>
      </c>
      <c r="F7" s="30" t="inlineStr">
        <is>
          <t>Y</t>
        </is>
      </c>
      <c r="G7" s="30" t="inlineStr">
        <is>
          <t>N</t>
        </is>
      </c>
      <c r="H7" s="30" t="inlineStr">
        <is>
          <t>N</t>
        </is>
      </c>
      <c r="I7" s="30" t="inlineStr">
        <is>
          <t>Y</t>
        </is>
      </c>
      <c r="J7" s="31" t="inlineStr">
        <is>
          <t>Tear out frame and deck down to footings. Build new frame + deck + rails + stairs. Reuse footings.</t>
        </is>
      </c>
    </row>
    <row r="8" ht="30" customHeight="1">
      <c r="A8" s="26" t="inlineStr">
        <is>
          <t>Full Tear-Out + New Build</t>
        </is>
      </c>
      <c r="B8" s="30" t="inlineStr">
        <is>
          <t>Y</t>
        </is>
      </c>
      <c r="C8" s="30" t="inlineStr">
        <is>
          <t>Y</t>
        </is>
      </c>
      <c r="D8" s="30" t="inlineStr">
        <is>
          <t>Y</t>
        </is>
      </c>
      <c r="E8" s="30" t="inlineStr">
        <is>
          <t>Y</t>
        </is>
      </c>
      <c r="F8" s="30" t="inlineStr">
        <is>
          <t>Y</t>
        </is>
      </c>
      <c r="G8" s="30" t="inlineStr">
        <is>
          <t>Y</t>
        </is>
      </c>
      <c r="H8" s="30" t="inlineStr">
        <is>
          <t>N</t>
        </is>
      </c>
      <c r="I8" s="30" t="inlineStr">
        <is>
          <t>Y</t>
        </is>
      </c>
      <c r="J8" s="31" t="inlineStr">
        <is>
          <t>Complete demolition including footings. New build from grade up.</t>
        </is>
      </c>
    </row>
    <row r="9" ht="30" customHeight="1">
      <c r="A9" s="26" t="inlineStr">
        <is>
          <t>New Build (No Tear-Out)</t>
        </is>
      </c>
      <c r="B9" s="30" t="inlineStr">
        <is>
          <t>N</t>
        </is>
      </c>
      <c r="C9" s="30" t="inlineStr">
        <is>
          <t>Y</t>
        </is>
      </c>
      <c r="D9" s="30" t="inlineStr">
        <is>
          <t>Y</t>
        </is>
      </c>
      <c r="E9" s="30" t="inlineStr">
        <is>
          <t>Y</t>
        </is>
      </c>
      <c r="F9" s="30" t="inlineStr">
        <is>
          <t>Y</t>
        </is>
      </c>
      <c r="G9" s="30" t="inlineStr">
        <is>
          <t>Y</t>
        </is>
      </c>
      <c r="H9" s="30" t="inlineStr">
        <is>
          <t>N</t>
        </is>
      </c>
      <c r="I9" s="30" t="inlineStr">
        <is>
          <t>Y</t>
        </is>
      </c>
      <c r="J9" s="31" t="inlineStr">
        <is>
          <t>Brand-new deck where none existed. New footings, framing, decking, rails, stairs. No demolition, tear-out, or waste-removal cost.</t>
        </is>
      </c>
    </row>
    <row r="10" ht="30" customHeight="1">
      <c r="A10" s="26" t="inlineStr">
        <is>
          <t>Fence</t>
        </is>
      </c>
      <c r="B10" s="30" t="inlineStr">
        <is>
          <t>N</t>
        </is>
      </c>
      <c r="C10" s="30" t="inlineStr">
        <is>
          <t>N</t>
        </is>
      </c>
      <c r="D10" s="30" t="inlineStr">
        <is>
          <t>N</t>
        </is>
      </c>
      <c r="E10" s="30" t="inlineStr">
        <is>
          <t>N</t>
        </is>
      </c>
      <c r="F10" s="30" t="inlineStr">
        <is>
          <t>N</t>
        </is>
      </c>
      <c r="G10" s="30" t="inlineStr">
        <is>
          <t>N</t>
        </is>
      </c>
      <c r="H10" s="30" t="inlineStr">
        <is>
          <t>N</t>
        </is>
      </c>
      <c r="I10" s="30" t="inlineStr">
        <is>
          <t>N</t>
        </is>
      </c>
      <c r="J10" s="31" t="inlineStr">
        <is>
          <t>Fence build, priced by linear foot. Uses fence_materials (rate by height) + gates + tear-out, not the deck SF model.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B2CF"/>
    <outlinePr summaryBelow="1" summaryRight="1"/>
    <pageSetUpPr/>
  </sheetPr>
  <dimension ref="A1:F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8" customWidth="1" min="3" max="3"/>
    <col width="12" customWidth="1" min="4" max="4"/>
    <col width="12" customWidth="1" min="5" max="5"/>
    <col width="38" customWidth="1" min="6" max="6"/>
  </cols>
  <sheetData>
    <row r="1">
      <c r="A1" s="1" t="inlineStr">
        <is>
          <t>Preliminary Materials List</t>
        </is>
      </c>
    </row>
    <row r="2" ht="32" customHeight="1">
      <c r="A2" s="29" t="inlineStr">
        <is>
          <t>Shopping list driven by Quote Input. Quantities update live. Edit unit costs in Pricing DB &gt; Materials Unit Costs section. Total at bottom is materials only - labor and margin live in the Quote.</t>
        </is>
      </c>
    </row>
    <row r="4">
      <c r="A4" s="32" t="inlineStr">
        <is>
          <t>Project Type:</t>
        </is>
      </c>
      <c r="B4" s="16">
        <f>'Quote Input'!B13</f>
        <v/>
      </c>
    </row>
    <row r="5">
      <c r="A5" s="32" t="inlineStr">
        <is>
          <t>Dimensions:</t>
        </is>
      </c>
      <c r="B5" s="16">
        <f>'Quote Input'!B16&amp;" ft x "&amp;'Quote Input'!B17&amp;" ft = "&amp;'Quote Input'!B18&amp;" SF deck"</f>
        <v/>
      </c>
    </row>
    <row r="6">
      <c r="A6" s="32" t="inlineStr">
        <is>
          <t>Materials selected:</t>
        </is>
      </c>
      <c r="B6" s="16">
        <f>"Decking: "&amp;'Quote Input'!B21&amp;"  |  Railing: "&amp;'Quote Input'!B22&amp;"  |  Framing: "&amp;'Quote Input'!B23</f>
        <v/>
      </c>
    </row>
    <row r="8" ht="22" customHeight="1">
      <c r="A8" s="7" t="inlineStr">
        <is>
          <t>Decking</t>
        </is>
      </c>
    </row>
    <row r="9">
      <c r="A9" s="25" t="inlineStr">
        <is>
          <t>Item</t>
        </is>
      </c>
      <c r="B9" s="25" t="inlineStr">
        <is>
          <t>Qty</t>
        </is>
      </c>
      <c r="C9" s="25" t="inlineStr">
        <is>
          <t>Unit</t>
        </is>
      </c>
      <c r="D9" s="25" t="inlineStr">
        <is>
          <t>Unit Cost</t>
        </is>
      </c>
      <c r="E9" s="25" t="inlineStr">
        <is>
          <t>Line Cost</t>
        </is>
      </c>
      <c r="F9" s="25" t="inlineStr">
        <is>
          <t>Notes</t>
        </is>
      </c>
    </row>
    <row r="10">
      <c r="A10" s="8">
        <f>"Deck board: "&amp;'Quote Input'!B21&amp;" (5/4x6x16)"</f>
        <v/>
      </c>
      <c r="B10" s="33">
        <f>IF(INDEX('Project Type Behavior'!$D$4:$D$10, MATCH('Quote Input'!B13, 'Project Type Behavior'!$A$4:$A$10, 0))="Y", CEILING('Quote Input'!B18*(1+'Quote Input'!E9)/7.33, 1), 0)</f>
        <v/>
      </c>
      <c r="C10" s="34" t="inlineStr">
        <is>
          <t>each</t>
        </is>
      </c>
      <c r="D10" s="59">
        <f>IFERROR(INDEX('Pricing DB'!$C$7:$C$19, MATCH('Quote Input'!B21, 'Pricing DB'!$A$7:$A$19, 0))*7.33, 0)</f>
        <v/>
      </c>
      <c r="E10" s="60">
        <f>B10*D10</f>
        <v/>
      </c>
      <c r="F10" s="37" t="inlineStr">
        <is>
          <t>5/4x6x16 nominal = 5.5" face x 16 ft = 7.33 SF/board</t>
        </is>
      </c>
    </row>
    <row r="11">
      <c r="A11" s="8">
        <f>IF(LEFT('Quote Input'!B21,4)="Trex", "Hidden fasteners (composite) - 50 ct box", "3-inch stainless deck screws - 5 lb box")</f>
        <v/>
      </c>
      <c r="B11" s="33">
        <f>IF(INDEX('Project Type Behavior'!$D$4:$D$10, MATCH('Quote Input'!B13, 'Project Type Behavior'!$A$4:$A$10, 0))&lt;&gt;"Y", 0, IF(LEFT('Quote Input'!B21,4)="Trex", CEILING('Quote Input'!B18/25, 1), CEILING('Quote Input'!B18/100, 1)))</f>
        <v/>
      </c>
      <c r="C11" s="34" t="inlineStr">
        <is>
          <t>box</t>
        </is>
      </c>
      <c r="D11" s="59">
        <f>IF(LEFT('Quote Input'!B21,4)="Trex", INDEX('Pricing DB'!$D$140:$D$167, MATCH("hidden_fastener_box", 'Pricing DB'!$A$140:$A$167, 0)), INDEX('Pricing DB'!$D$140:$D$167, MATCH("deck_screw_box_5lb", 'Pricing DB'!$A$140:$A$167, 0)))</f>
        <v/>
      </c>
      <c r="E11" s="60">
        <f>B11*D11</f>
        <v/>
      </c>
      <c r="F11" s="37" t="inlineStr">
        <is>
          <t>Composite: ~1 box / 25 SF. Wood deck: ~1 box (5 lb) per 100 SF</t>
        </is>
      </c>
    </row>
    <row r="12">
      <c r="A12" s="8">
        <f>"Fascia board: "&amp;'Quote Input'!B21&amp;" (16 ft)"</f>
        <v/>
      </c>
      <c r="B12" s="33">
        <f>IF(INDEX('Project Type Behavior'!$D$4:$D$10, MATCH('Quote Input'!B13, 'Project Type Behavior'!$A$4:$A$10, 0))&lt;&gt;"Y", 0, CEILING('Quote Input'!B34/16, 1))</f>
        <v/>
      </c>
      <c r="C12" s="34" t="inlineStr">
        <is>
          <t>each</t>
        </is>
      </c>
      <c r="D12" s="59">
        <f>IFERROR(INDEX('Pricing DB'!$C$7:$C$19, MATCH('Quote Input'!B21, 'Pricing DB'!$A$7:$A$19, 0))*7.33, 0)</f>
        <v/>
      </c>
      <c r="E12" s="60">
        <f>B12*D12</f>
        <v/>
      </c>
      <c r="F12" s="37" t="inlineStr">
        <is>
          <t>Use matching deck material on exposed rim and stair stringers</t>
        </is>
      </c>
    </row>
    <row r="13">
      <c r="A13" s="8" t="inlineStr">
        <is>
          <t>Construction adhesive (PL Premium 10 oz)</t>
        </is>
      </c>
      <c r="B13" s="33">
        <f>IF(INDEX('Project Type Behavior'!$D$4:$D$10, MATCH('Quote Input'!B13, 'Project Type Behavior'!$A$4:$A$10, 0))&lt;&gt;"Y", 0, CEILING('Quote Input'!B18/100, 1))</f>
        <v/>
      </c>
      <c r="C13" s="34" t="inlineStr">
        <is>
          <t>tube</t>
        </is>
      </c>
      <c r="D13" s="59">
        <f>INDEX('Pricing DB'!$D$140:$D$167, MATCH("construction_adhesive", 'Pricing DB'!$A$140:$A$167, 0))</f>
        <v/>
      </c>
      <c r="E13" s="60">
        <f>B13*D13</f>
        <v/>
      </c>
      <c r="F13" s="37" t="inlineStr">
        <is>
          <t>~1 tube per 100 SF (ledger, stair stringers, beam laminations)</t>
        </is>
      </c>
    </row>
    <row r="15" ht="22" customHeight="1">
      <c r="A15" s="7" t="inlineStr">
        <is>
          <t>Framing - KDAT Pressure-Treated (rows 17-23 zero out if Steel framing selected; see row 57)</t>
        </is>
      </c>
    </row>
    <row r="16">
      <c r="A16" s="25" t="inlineStr">
        <is>
          <t>Item</t>
        </is>
      </c>
      <c r="B16" s="25" t="inlineStr">
        <is>
          <t>Qty</t>
        </is>
      </c>
      <c r="C16" s="25" t="inlineStr">
        <is>
          <t>Unit</t>
        </is>
      </c>
      <c r="D16" s="25" t="inlineStr">
        <is>
          <t>Unit Cost</t>
        </is>
      </c>
      <c r="E16" s="25" t="inlineStr">
        <is>
          <t>Line Cost</t>
        </is>
      </c>
      <c r="F16" s="25" t="inlineStr">
        <is>
          <t>Notes</t>
        </is>
      </c>
    </row>
    <row r="17">
      <c r="A17" s="8" t="inlineStr">
        <is>
          <t>KDAT PT 2x10x16 (joists, 16" o.c. spacing)</t>
        </is>
      </c>
      <c r="B17" s="33">
        <f>IF(NOT(AND(INDEX('Project Type Behavior'!$C$4:$C$10, MATCH('Quote Input'!B13, 'Project Type Behavior'!$A$4:$A$10, 0))="Y", 'Quote Input'!B23="KDAT Pressure-Treated")), 0, CEILING('Quote Input'!B16*12/16, 1)+1)</f>
        <v/>
      </c>
      <c r="C17" s="34" t="inlineStr">
        <is>
          <t>each</t>
        </is>
      </c>
      <c r="D17" s="59">
        <f>INDEX('Pricing DB'!$D$140:$D$167, MATCH("kdat_2x10x16", 'Pricing DB'!$A$140:$A$167, 0))</f>
        <v/>
      </c>
      <c r="E17" s="60">
        <f>B17*D17</f>
        <v/>
      </c>
      <c r="F17" s="37" t="inlineStr">
        <is>
          <t>One joist every 16 in along the deck length, plus 1 end joist</t>
        </is>
      </c>
    </row>
    <row r="18">
      <c r="A18" s="8" t="inlineStr">
        <is>
          <t>KDAT PT 2x10x16 (beam, 2-ply)</t>
        </is>
      </c>
      <c r="B18" s="33">
        <f>IF(NOT(AND(INDEX('Project Type Behavior'!$C$4:$C$10, MATCH('Quote Input'!B13, 'Project Type Behavior'!$A$4:$A$10, 0))="Y", 'Quote Input'!B23="KDAT Pressure-Treated")), 0, 2*CEILING('Quote Input'!B16/16, 1))</f>
        <v/>
      </c>
      <c r="C18" s="34" t="inlineStr">
        <is>
          <t>each</t>
        </is>
      </c>
      <c r="D18" s="59">
        <f>INDEX('Pricing DB'!$D$140:$D$167, MATCH("kdat_2x10x16", 'Pricing DB'!$A$140:$A$167, 0))</f>
        <v/>
      </c>
      <c r="E18" s="60">
        <f>B18*D18</f>
        <v/>
      </c>
      <c r="F18" s="37" t="inlineStr">
        <is>
          <t>2-ply doubled beam under outer joist ends; lengths cut to span</t>
        </is>
      </c>
    </row>
    <row r="19">
      <c r="A19" s="8" t="inlineStr">
        <is>
          <t>KDAT PT 2x10x16 (ledger to house)</t>
        </is>
      </c>
      <c r="B19" s="33">
        <f>IF(NOT(AND(INDEX('Project Type Behavior'!$C$4:$C$10, MATCH('Quote Input'!B13, 'Project Type Behavior'!$A$4:$A$10, 0))="Y", 'Quote Input'!B23="KDAT Pressure-Treated")), 0, CEILING('Quote Input'!B16/16, 1))</f>
        <v/>
      </c>
      <c r="C19" s="34" t="inlineStr">
        <is>
          <t>each</t>
        </is>
      </c>
      <c r="D19" s="59">
        <f>INDEX('Pricing DB'!$D$140:$D$167, MATCH("kdat_2x10x16", 'Pricing DB'!$A$140:$A$167, 0))</f>
        <v/>
      </c>
      <c r="E19" s="60">
        <f>B19*D19</f>
        <v/>
      </c>
      <c r="F19" s="37" t="inlineStr">
        <is>
          <t>Lag-bolted to house rim joist; sealed with flashing</t>
        </is>
      </c>
    </row>
    <row r="20">
      <c r="A20" s="8" t="inlineStr">
        <is>
          <t>KDAT PT 6x6x8 (beam posts)</t>
        </is>
      </c>
      <c r="B20" s="33">
        <f>IF(NOT(AND(INDEX('Project Type Behavior'!$C$4:$C$10, MATCH('Quote Input'!B13, 'Project Type Behavior'!$A$4:$A$10, 0))="Y", 'Quote Input'!B23="KDAT Pressure-Treated")), 0, CEILING('Quote Input'!B16/6, 1)+1)</f>
        <v/>
      </c>
      <c r="C20" s="34" t="inlineStr">
        <is>
          <t>each</t>
        </is>
      </c>
      <c r="D20" s="59">
        <f>INDEX('Pricing DB'!$D$140:$D$167, MATCH("kdat_6x6x8", 'Pricing DB'!$A$140:$A$167, 0))</f>
        <v/>
      </c>
      <c r="E20" s="60">
        <f>B20*D20</f>
        <v/>
      </c>
      <c r="F20" s="37" t="inlineStr">
        <is>
          <t>Spaced ~6 ft on center along beam; 8-ft length cut to height</t>
        </is>
      </c>
    </row>
    <row r="21">
      <c r="A21" s="8" t="inlineStr">
        <is>
          <t>Joist hangers (Simpson LUS28 for 2x10)</t>
        </is>
      </c>
      <c r="B21" s="33">
        <f>IF(NOT(AND(INDEX('Project Type Behavior'!$C$4:$C$10, MATCH('Quote Input'!B13, 'Project Type Behavior'!$A$4:$A$10, 0))="Y", 'Quote Input'!B23="KDAT Pressure-Treated")), 0, CEILING('Quote Input'!B16*12/16, 1)+1)</f>
        <v/>
      </c>
      <c r="C21" s="34" t="inlineStr">
        <is>
          <t>each</t>
        </is>
      </c>
      <c r="D21" s="59">
        <f>INDEX('Pricing DB'!$D$140:$D$167, MATCH("joist_hanger_2x10", 'Pricing DB'!$A$140:$A$167, 0))</f>
        <v/>
      </c>
      <c r="E21" s="60">
        <f>B21*D21</f>
        <v/>
      </c>
      <c r="F21" s="37" t="inlineStr">
        <is>
          <t>One per joist at ledger-end and beam-end (count matches joists)</t>
        </is>
      </c>
    </row>
    <row r="22">
      <c r="A22" s="8" t="inlineStr">
        <is>
          <t>Hurricane ties (Simpson H1)</t>
        </is>
      </c>
      <c r="B22" s="33">
        <f>IF(NOT(AND(INDEX('Project Type Behavior'!$C$4:$C$10, MATCH('Quote Input'!B13, 'Project Type Behavior'!$A$4:$A$10, 0))="Y", 'Quote Input'!B23="KDAT Pressure-Treated")), 0, CEILING('Quote Input'!B16*12/16, 1)+1)</f>
        <v/>
      </c>
      <c r="C22" s="34" t="inlineStr">
        <is>
          <t>each</t>
        </is>
      </c>
      <c r="D22" s="59">
        <f>INDEX('Pricing DB'!$D$140:$D$167, MATCH("hurricane_tie", 'Pricing DB'!$A$140:$A$167, 0))</f>
        <v/>
      </c>
      <c r="E22" s="60">
        <f>B22*D22</f>
        <v/>
      </c>
      <c r="F22" s="37" t="inlineStr">
        <is>
          <t>One per joist where it crosses beam (code-required)</t>
        </is>
      </c>
    </row>
    <row r="23">
      <c r="A23" s="8" t="inlineStr">
        <is>
          <t>1/2" x 4" lag screws (ledger to rim)</t>
        </is>
      </c>
      <c r="B23" s="33">
        <f>IF(NOT(AND(INDEX('Project Type Behavior'!$C$4:$C$10, MATCH('Quote Input'!B13, 'Project Type Behavior'!$A$4:$A$10, 0))="Y", 'Quote Input'!B23="KDAT Pressure-Treated")), 0, CEILING('Quote Input'!B16*12/16, 1))</f>
        <v/>
      </c>
      <c r="C23" s="34" t="inlineStr">
        <is>
          <t>each</t>
        </is>
      </c>
      <c r="D23" s="59">
        <f>INDEX('Pricing DB'!$D$140:$D$167, MATCH("ledger_lag_screw", 'Pricing DB'!$A$140:$A$167, 0))</f>
        <v/>
      </c>
      <c r="E23" s="60">
        <f>B23*D23</f>
        <v/>
      </c>
      <c r="F23" s="37" t="inlineStr">
        <is>
          <t>One every 16" along ledger (Wisconsin code)</t>
        </is>
      </c>
    </row>
    <row r="25" ht="22" customHeight="1">
      <c r="A25" s="7" t="inlineStr">
        <is>
          <t>Footings (matrix.footing = Y only)</t>
        </is>
      </c>
    </row>
    <row r="26">
      <c r="A26" s="25" t="inlineStr">
        <is>
          <t>Item</t>
        </is>
      </c>
      <c r="B26" s="25" t="inlineStr">
        <is>
          <t>Qty</t>
        </is>
      </c>
      <c r="C26" s="25" t="inlineStr">
        <is>
          <t>Unit</t>
        </is>
      </c>
      <c r="D26" s="25" t="inlineStr">
        <is>
          <t>Unit Cost</t>
        </is>
      </c>
      <c r="E26" s="25" t="inlineStr">
        <is>
          <t>Line Cost</t>
        </is>
      </c>
      <c r="F26" s="25" t="inlineStr">
        <is>
          <t>Notes</t>
        </is>
      </c>
    </row>
    <row r="27">
      <c r="A27" s="8" t="inlineStr">
        <is>
          <t>Concrete tube form 12" x 48" (WI frost line)</t>
        </is>
      </c>
      <c r="B27" s="33">
        <f>IF(INDEX('Project Type Behavior'!$G$4:$G$10, MATCH('Quote Input'!B13, 'Project Type Behavior'!$A$4:$A$10, 0))&lt;&gt;"Y", 0, (CEILING('Quote Input'!B16/6, 1)+1))</f>
        <v/>
      </c>
      <c r="C27" s="34" t="inlineStr">
        <is>
          <t>each</t>
        </is>
      </c>
      <c r="D27" s="59">
        <f>INDEX('Pricing DB'!$D$140:$D$167, MATCH("concrete_tube_12x48", 'Pricing DB'!$A$140:$A$167, 0))</f>
        <v/>
      </c>
      <c r="E27" s="60">
        <f>B27*D27</f>
        <v/>
      </c>
      <c r="F27" s="37" t="inlineStr">
        <is>
          <t>One tube per post; 48" depth for Wisconsin frost line</t>
        </is>
      </c>
    </row>
    <row r="28">
      <c r="A28" s="8" t="inlineStr">
        <is>
          <t>Concrete mix 60 lb bag</t>
        </is>
      </c>
      <c r="B28" s="33">
        <f>IF(INDEX('Project Type Behavior'!$G$4:$G$10, MATCH('Quote Input'!B13, 'Project Type Behavior'!$A$4:$A$10, 0))&lt;&gt;"Y", 0, (CEILING('Quote Input'!B16/6, 1)+1)*4)</f>
        <v/>
      </c>
      <c r="C28" s="34" t="inlineStr">
        <is>
          <t>bag</t>
        </is>
      </c>
      <c r="D28" s="59">
        <f>INDEX('Pricing DB'!$D$140:$D$167, MATCH("concrete_bag_60lb", 'Pricing DB'!$A$140:$A$167, 0))</f>
        <v/>
      </c>
      <c r="E28" s="60">
        <f>B28*D28</f>
        <v/>
      </c>
      <c r="F28" s="37" t="inlineStr">
        <is>
          <t>~4 bags per 12" x 48" tube footing</t>
        </is>
      </c>
    </row>
    <row r="29">
      <c r="A29" s="8" t="inlineStr">
        <is>
          <t>Rebar 1/2" x 4 ft</t>
        </is>
      </c>
      <c r="B29" s="33">
        <f>IF(INDEX('Project Type Behavior'!$G$4:$G$10, MATCH('Quote Input'!B13, 'Project Type Behavior'!$A$4:$A$10, 0))&lt;&gt;"Y", 0, (CEILING('Quote Input'!B16/6, 1)+1)*2)</f>
        <v/>
      </c>
      <c r="C29" s="34" t="inlineStr">
        <is>
          <t>each</t>
        </is>
      </c>
      <c r="D29" s="59">
        <f>INDEX('Pricing DB'!$D$140:$D$167, MATCH("rebar_half_x_4ft", 'Pricing DB'!$A$140:$A$167, 0))</f>
        <v/>
      </c>
      <c r="E29" s="60">
        <f>B29*D29</f>
        <v/>
      </c>
      <c r="F29" s="37" t="inlineStr">
        <is>
          <t>2 pieces per footing in cross pattern</t>
        </is>
      </c>
    </row>
    <row r="31" ht="22" customHeight="1">
      <c r="A31" s="7" t="inlineStr">
        <is>
          <t>Railing</t>
        </is>
      </c>
    </row>
    <row r="32">
      <c r="A32" s="25" t="inlineStr">
        <is>
          <t>Item</t>
        </is>
      </c>
      <c r="B32" s="25" t="inlineStr">
        <is>
          <t>Qty</t>
        </is>
      </c>
      <c r="C32" s="25" t="inlineStr">
        <is>
          <t>Unit</t>
        </is>
      </c>
      <c r="D32" s="25" t="inlineStr">
        <is>
          <t>Unit Cost</t>
        </is>
      </c>
      <c r="E32" s="25" t="inlineStr">
        <is>
          <t>Line Cost</t>
        </is>
      </c>
      <c r="F32" s="25" t="inlineStr">
        <is>
          <t>Notes</t>
        </is>
      </c>
    </row>
    <row r="33">
      <c r="A33" s="8" t="inlineStr">
        <is>
          <t>Trex Signature aluminum rail section (6 ft kit)</t>
        </is>
      </c>
      <c r="B33" s="33">
        <f>IF(AND(AND(INDEX('Project Type Behavior'!$E$4:$E$10, MATCH('Quote Input'!B13, 'Project Type Behavior'!$A$4:$A$10, 0))&lt;&gt;"N", 'Quote Input'!B33&gt;0), 'Quote Input'!B22="Trex Aluminum"), CEILING('Quote Input'!B33/6, 1), 0)</f>
        <v/>
      </c>
      <c r="C33" s="34" t="inlineStr">
        <is>
          <t>kit</t>
        </is>
      </c>
      <c r="D33" s="59">
        <f>INDEX('Pricing DB'!$D$140:$D$167, MATCH("trex_alum_rail_6ft", 'Pricing DB'!$A$140:$A$167, 0))</f>
        <v/>
      </c>
      <c r="E33" s="60">
        <f>B33*D33</f>
        <v/>
      </c>
      <c r="F33" s="37" t="inlineStr">
        <is>
          <t>Includes top/bot rail, balusters; cut to length on site</t>
        </is>
      </c>
    </row>
    <row r="34">
      <c r="A34" s="8" t="inlineStr">
        <is>
          <t>Trex Signature aluminum post + base kit</t>
        </is>
      </c>
      <c r="B34" s="33">
        <f>IF(AND(AND(INDEX('Project Type Behavior'!$E$4:$E$10, MATCH('Quote Input'!B13, 'Project Type Behavior'!$A$4:$A$10, 0))&lt;&gt;"N", 'Quote Input'!B33&gt;0), 'Quote Input'!B22="Trex Aluminum"), CEILING('Quote Input'!B33/6, 1)+1, 0)</f>
        <v/>
      </c>
      <c r="C34" s="34" t="inlineStr">
        <is>
          <t>kit</t>
        </is>
      </c>
      <c r="D34" s="59">
        <f>INDEX('Pricing DB'!$D$140:$D$167, MATCH("trex_alum_post_kit", 'Pricing DB'!$A$140:$A$167, 0))</f>
        <v/>
      </c>
      <c r="E34" s="60">
        <f>B34*D34</f>
        <v/>
      </c>
      <c r="F34" s="37" t="inlineStr">
        <is>
          <t>One post per 6 ft of railing, plus 1 for the end</t>
        </is>
      </c>
    </row>
    <row r="35">
      <c r="A35" s="8">
        <f>IF('Quote Input'!B22="Pressure-Treated Wood Rail", "AC2 PT 2x4x8 ", IF('Quote Input'!B22="Cedar Wood Rail", "Cedar 2x4x8 ", ""))&amp;"(top + bottom rail)"</f>
        <v/>
      </c>
      <c r="B35" s="33">
        <f>IF(AND(AND(INDEX('Project Type Behavior'!$E$4:$E$10, MATCH('Quote Input'!B13, 'Project Type Behavior'!$A$4:$A$10, 0))&lt;&gt;"N", 'Quote Input'!B33&gt;0), OR('Quote Input'!B22="Pressure-Treated Wood Rail", 'Quote Input'!B22="Cedar Wood Rail")), 2*CEILING('Quote Input'!B33/8, 1), 0)</f>
        <v/>
      </c>
      <c r="C35" s="34" t="inlineStr">
        <is>
          <t>each</t>
        </is>
      </c>
      <c r="D35" s="59">
        <f>IF('Quote Input'!B22="Pressure-Treated Wood Rail", INDEX('Pricing DB'!$D$140:$D$167, MATCH("pt_2x4x8", 'Pricing DB'!$A$140:$A$167, 0)), IF('Quote Input'!B22="Cedar Wood Rail", INDEX('Pricing DB'!$D$140:$D$167, MATCH("cedar_2x4x8", 'Pricing DB'!$A$140:$A$167, 0)), 0))</f>
        <v/>
      </c>
      <c r="E35" s="60">
        <f>B35*D35</f>
        <v/>
      </c>
      <c r="F35" s="37" t="inlineStr">
        <is>
          <t>2 boards (top + bottom) per 8 LF of railing</t>
        </is>
      </c>
    </row>
    <row r="36">
      <c r="A36" s="8">
        <f>IF('Quote Input'!B22="Pressure-Treated Wood Rail", "PT 2x2x42 baluster", IF('Quote Input'!B22="Cedar Wood Rail", "Cedar 2x2x42 baluster", ""))</f>
        <v/>
      </c>
      <c r="B36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Input'!B33*12/4, 1), 0)</f>
        <v/>
      </c>
      <c r="C36" s="34" t="inlineStr">
        <is>
          <t>each</t>
        </is>
      </c>
      <c r="D36" s="59">
        <f>IF('Quote Input'!B22="Pressure-Treated Wood Rail", INDEX('Pricing DB'!$D$140:$D$167, MATCH("pt_2x2x42", 'Pricing DB'!$A$140:$A$167, 0)), IF('Quote Input'!B22="Cedar Wood Rail", INDEX('Pricing DB'!$D$140:$D$167, MATCH("cedar_2x2x42", 'Pricing DB'!$A$140:$A$167, 0)), 0))</f>
        <v/>
      </c>
      <c r="E36" s="60">
        <f>B36*D36</f>
        <v/>
      </c>
      <c r="F36" s="37" t="inlineStr">
        <is>
          <t>One baluster every 4 in (code-required spacing)</t>
        </is>
      </c>
    </row>
    <row r="37">
      <c r="A37" s="8" t="inlineStr">
        <is>
          <t>KDAT PT 4x4x8 (rail posts)</t>
        </is>
      </c>
      <c r="B37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Input'!B33/6, 1)+1, 0)</f>
        <v/>
      </c>
      <c r="C37" s="34" t="inlineStr">
        <is>
          <t>each</t>
        </is>
      </c>
      <c r="D37" s="59">
        <f>INDEX('Pricing DB'!$D$140:$D$167, MATCH("kdat_4x4x8", 'Pricing DB'!$A$140:$A$167, 0))</f>
        <v/>
      </c>
      <c r="E37" s="60">
        <f>B37*D37</f>
        <v/>
      </c>
      <c r="F37" s="37" t="inlineStr">
        <is>
          <t>Wood rail post every 6 ft; PT used even on cedar rail systems</t>
        </is>
      </c>
    </row>
    <row r="38">
      <c r="A38" s="8" t="inlineStr">
        <is>
          <t>Feeney CableRail 10 ft kit</t>
        </is>
      </c>
      <c r="B38" s="33">
        <f>IF(AND(AND(INDEX('Project Type Behavior'!$E$4:$E$10, MATCH('Quote Input'!B13, 'Project Type Behavior'!$A$4:$A$10, 0))&lt;&gt;"N", 'Quote Input'!B33&gt;0), 'Quote Input'!B22="Cable Railing"), CEILING('Quote Input'!B33/10, 1), 0)</f>
        <v/>
      </c>
      <c r="C38" s="34" t="inlineStr">
        <is>
          <t>kit</t>
        </is>
      </c>
      <c r="D38" s="59">
        <f>INDEX('Pricing DB'!$D$140:$D$167, MATCH("cable_rail_kit_10ft", 'Pricing DB'!$A$140:$A$167, 0))</f>
        <v/>
      </c>
      <c r="E38" s="60">
        <f>B38*D38</f>
        <v/>
      </c>
      <c r="F38" s="37" t="inlineStr">
        <is>
          <t>10 ft cable assembly + tensioners; need wood posts (see row 37)</t>
        </is>
      </c>
    </row>
    <row r="39">
      <c r="A39" s="8" t="inlineStr">
        <is>
          <t>Tempered glass railing panel 36" x 42"</t>
        </is>
      </c>
      <c r="B39" s="33">
        <f>IF(AND(AND(INDEX('Project Type Behavior'!$E$4:$E$10, MATCH('Quote Input'!B13, 'Project Type Behavior'!$A$4:$A$10, 0))&lt;&gt;"N", 'Quote Input'!B33&gt;0), 'Quote Input'!B22="Glass Panel"), CEILING('Quote Input'!B33/3, 1), 0)</f>
        <v/>
      </c>
      <c r="C39" s="34" t="inlineStr">
        <is>
          <t>panel</t>
        </is>
      </c>
      <c r="D39" s="59">
        <f>INDEX('Pricing DB'!$D$140:$D$167, MATCH("glass_panel_36x42", 'Pricing DB'!$A$140:$A$167, 0))</f>
        <v/>
      </c>
      <c r="E39" s="60">
        <f>B39*D39</f>
        <v/>
      </c>
      <c r="F39" s="37" t="inlineStr">
        <is>
          <t>3 ft panels with aluminum posts every 3 ft</t>
        </is>
      </c>
    </row>
    <row r="40">
      <c r="A40" s="8" t="inlineStr">
        <is>
          <t>Aluminum glass-railing post + clamp set</t>
        </is>
      </c>
      <c r="B40" s="33">
        <f>IF(AND(AND(INDEX('Project Type Behavior'!$E$4:$E$10, MATCH('Quote Input'!B13, 'Project Type Behavior'!$A$4:$A$10, 0))&lt;&gt;"N", 'Quote Input'!B33&gt;0), 'Quote Input'!B22="Glass Panel"), CEILING('Quote Input'!B33/3, 1)+1, 0)</f>
        <v/>
      </c>
      <c r="C40" s="34" t="inlineStr">
        <is>
          <t>kit</t>
        </is>
      </c>
      <c r="D40" s="59">
        <f>INDEX('Pricing DB'!$D$140:$D$167, MATCH("alum_glass_post", 'Pricing DB'!$A$140:$A$167, 0))</f>
        <v/>
      </c>
      <c r="E40" s="60">
        <f>B40*D40</f>
        <v/>
      </c>
      <c r="F40" s="37" t="inlineStr">
        <is>
          <t>One per panel edge + 1 for the end</t>
        </is>
      </c>
    </row>
    <row r="42" ht="22" customHeight="1">
      <c r="A42" s="7" t="inlineStr">
        <is>
          <t>Stairs (only if stair runs &gt; 0)</t>
        </is>
      </c>
    </row>
    <row r="43">
      <c r="A43" s="25" t="inlineStr">
        <is>
          <t>Item</t>
        </is>
      </c>
      <c r="B43" s="25" t="inlineStr">
        <is>
          <t>Qty</t>
        </is>
      </c>
      <c r="C43" s="25" t="inlineStr">
        <is>
          <t>Unit</t>
        </is>
      </c>
      <c r="D43" s="25" t="inlineStr">
        <is>
          <t>Unit Cost</t>
        </is>
      </c>
      <c r="E43" s="25" t="inlineStr">
        <is>
          <t>Line Cost</t>
        </is>
      </c>
      <c r="F43" s="25" t="inlineStr">
        <is>
          <t>Notes</t>
        </is>
      </c>
    </row>
    <row r="44">
      <c r="A44" s="8" t="inlineStr">
        <is>
          <t>KDAT PT 2x10x16 (stair stringers, cut from blanks)</t>
        </is>
      </c>
      <c r="B44" s="33">
        <f>IF(AND(INDEX('Project Type Behavior'!$F$4:$F$10, MATCH('Quote Input'!B13, 'Project Type Behavior'!$A$4:$A$10, 0))&lt;&gt;"N", 'Quote Input'!B35&gt;0), 'Quote Input'!B35*2, 0)</f>
        <v/>
      </c>
      <c r="C44" s="34" t="inlineStr">
        <is>
          <t>each</t>
        </is>
      </c>
      <c r="D44" s="59">
        <f>INDEX('Pricing DB'!$D$140:$D$167, MATCH("kdat_2x10x16", 'Pricing DB'!$A$140:$A$167, 0))</f>
        <v/>
      </c>
      <c r="E44" s="60">
        <f>B44*D44</f>
        <v/>
      </c>
      <c r="F44" s="37" t="inlineStr">
        <is>
          <t>2 stringers per stair run; cut from 16 ft blank</t>
        </is>
      </c>
    </row>
    <row r="45">
      <c r="A45" s="8">
        <f>"Tread board: "&amp;'Quote Input'!B21</f>
        <v/>
      </c>
      <c r="B45" s="33">
        <f>IF(AND(INDEX('Project Type Behavior'!$F$4:$F$10, MATCH('Quote Input'!B13, 'Project Type Behavior'!$A$4:$A$10, 0))&lt;&gt;"N", 'Quote Input'!B35&gt;0), CEILING('Quote Input'!B36/2, 1), 0)</f>
        <v/>
      </c>
      <c r="C45" s="34" t="inlineStr">
        <is>
          <t>each</t>
        </is>
      </c>
      <c r="D45" s="59">
        <f>IFERROR(INDEX('Pricing DB'!$C$7:$C$19, MATCH('Quote Input'!B21, 'Pricing DB'!$A$7:$A$19, 0))*7.33, 0)</f>
        <v/>
      </c>
      <c r="E45" s="60">
        <f>B45*D45</f>
        <v/>
      </c>
      <c r="F45" s="37" t="inlineStr">
        <is>
          <t>2 tread pieces per board (16 ft cut into 4 x 4 ft pieces, used as 2 treads)</t>
        </is>
      </c>
    </row>
    <row r="46">
      <c r="A46" s="8" t="inlineStr">
        <is>
          <t>KDAT PT 1x8 riser stock (or matching deck material)</t>
        </is>
      </c>
      <c r="B46" s="33">
        <f>IF(AND(INDEX('Project Type Behavior'!$F$4:$F$10, MATCH('Quote Input'!B13, 'Project Type Behavior'!$A$4:$A$10, 0))&lt;&gt;"N", 'Quote Input'!B35&gt;0), CEILING('Quote Input'!B36/2, 1), 0)</f>
        <v/>
      </c>
      <c r="C46" s="34" t="inlineStr">
        <is>
          <t>each</t>
        </is>
      </c>
      <c r="D46" s="59">
        <f>INDEX('Pricing DB'!$D$140:$D$167, MATCH("kdat_2x10x16", 'Pricing DB'!$A$140:$A$167, 0))*0.5</f>
        <v/>
      </c>
      <c r="E46" s="60">
        <f>B46*D46</f>
        <v/>
      </c>
      <c r="F46" s="37" t="inlineStr">
        <is>
          <t>Vertical face of each stair; cut from 16 ft stock</t>
        </is>
      </c>
    </row>
    <row r="47">
      <c r="A47" s="8" t="inlineStr">
        <is>
          <t>Stair hardware (brackets, screws, drip caps)</t>
        </is>
      </c>
      <c r="B47" s="33">
        <f>IF(AND(INDEX('Project Type Behavior'!$F$4:$F$10, MATCH('Quote Input'!B13, 'Project Type Behavior'!$A$4:$A$10, 0))&lt;&gt;"N", 'Quote Input'!B35&gt;0), 'Quote Input'!B35, 0)</f>
        <v/>
      </c>
      <c r="C47" s="34" t="inlineStr">
        <is>
          <t>set</t>
        </is>
      </c>
      <c r="D47" s="59">
        <f>85</f>
        <v/>
      </c>
      <c r="E47" s="60">
        <f>B47*D47</f>
        <v/>
      </c>
      <c r="F47" s="37" t="inlineStr">
        <is>
          <t>~$85 per stair run for misc fasteners + brackets</t>
        </is>
      </c>
    </row>
    <row r="49" ht="22" customHeight="1">
      <c r="A49" s="7" t="inlineStr">
        <is>
          <t>Stain (only if matrix.stain = Y)</t>
        </is>
      </c>
    </row>
    <row r="50">
      <c r="A50" s="25" t="inlineStr">
        <is>
          <t>Item</t>
        </is>
      </c>
      <c r="B50" s="25" t="inlineStr">
        <is>
          <t>Qty</t>
        </is>
      </c>
      <c r="C50" s="25" t="inlineStr">
        <is>
          <t>Unit</t>
        </is>
      </c>
      <c r="D50" s="25" t="inlineStr">
        <is>
          <t>Unit Cost</t>
        </is>
      </c>
      <c r="E50" s="25" t="inlineStr">
        <is>
          <t>Line Cost</t>
        </is>
      </c>
      <c r="F50" s="25" t="inlineStr">
        <is>
          <t>Notes</t>
        </is>
      </c>
    </row>
    <row r="51">
      <c r="A51" s="8">
        <f>"Stain ("&amp;'Quote Input'!B42&amp;") - 1 gal"</f>
        <v/>
      </c>
      <c r="B51" s="33">
        <f>IF(AND(INDEX('Project Type Behavior'!$H$4:$H$10, MATCH('Quote Input'!B13, 'Project Type Behavior'!$A$4:$A$10, 0))="Y", 'Quote Input'!B41&gt;0), CEILING('Quote Input'!B41*'Quote Input'!B43/300, 1), 0)</f>
        <v/>
      </c>
      <c r="C51" s="34" t="inlineStr">
        <is>
          <t>gal</t>
        </is>
      </c>
      <c r="D51" s="59">
        <f>IF('Quote Input'!B42="Transparent", INDEX('Pricing DB'!$D$140:$D$167, MATCH("stain_transparent_gal", 'Pricing DB'!$A$140:$A$167, 0)), IF('Quote Input'!B42="Semi-Transparent", INDEX('Pricing DB'!$D$140:$D$167, MATCH("stain_semi_gal", 'Pricing DB'!$A$140:$A$167, 0)), INDEX('Pricing DB'!$D$140:$D$167, MATCH("stain_solid_gal", 'Pricing DB'!$A$140:$A$167, 0))))</f>
        <v/>
      </c>
      <c r="E51" s="60">
        <f>B51*D51</f>
        <v/>
      </c>
      <c r="F51" s="37" t="inlineStr">
        <is>
          <t>~300 SF/gallon coverage; multiply by coat count</t>
        </is>
      </c>
    </row>
    <row r="52">
      <c r="A52" s="8" t="inlineStr">
        <is>
          <t>Stain supplies set (brushes, rollers, pads, drop cloths)</t>
        </is>
      </c>
      <c r="B52" s="33">
        <f>IF(AND(INDEX('Project Type Behavior'!$H$4:$H$10, MATCH('Quote Input'!B13, 'Project Type Behavior'!$A$4:$A$10, 0))="Y", 'Quote Input'!B41&gt;0), 1, 0)</f>
        <v/>
      </c>
      <c r="C52" s="34" t="inlineStr">
        <is>
          <t>set</t>
        </is>
      </c>
      <c r="D52" s="59">
        <f>INDEX('Pricing DB'!$D$140:$D$167, MATCH("stain_supplies_set", 'Pricing DB'!$A$140:$A$167, 0))</f>
        <v/>
      </c>
      <c r="E52" s="60">
        <f>B52*D52</f>
        <v/>
      </c>
      <c r="F52" s="37" t="inlineStr">
        <is>
          <t>Consumable supplies for the job; one set per project</t>
        </is>
      </c>
    </row>
    <row r="54" ht="22" customHeight="1">
      <c r="A54" s="7" t="inlineStr">
        <is>
          <t>Other / Site</t>
        </is>
      </c>
    </row>
    <row r="55">
      <c r="A55" s="25" t="inlineStr">
        <is>
          <t>Item</t>
        </is>
      </c>
      <c r="B55" s="25" t="inlineStr">
        <is>
          <t>Qty</t>
        </is>
      </c>
      <c r="C55" s="25" t="inlineStr">
        <is>
          <t>Unit</t>
        </is>
      </c>
      <c r="D55" s="25" t="inlineStr">
        <is>
          <t>Unit Cost</t>
        </is>
      </c>
      <c r="E55" s="25" t="inlineStr">
        <is>
          <t>Line Cost</t>
        </is>
      </c>
      <c r="F55" s="25" t="inlineStr">
        <is>
          <t>Notes</t>
        </is>
      </c>
    </row>
    <row r="56">
      <c r="A56" s="8" t="inlineStr">
        <is>
          <t>10-yard roll-off dumpster (1 week)</t>
        </is>
      </c>
      <c r="B56" s="33">
        <f>IF(INDEX('Project Type Behavior'!$B$4:$B$10, MATCH('Quote Input'!B13, 'Project Type Behavior'!$A$4:$A$10, 0))="N", 0, 1)</f>
        <v/>
      </c>
      <c r="C56" s="34" t="inlineStr">
        <is>
          <t>rental</t>
        </is>
      </c>
      <c r="D56" s="59">
        <f>INDEX('Pricing DB'!$D$140:$D$167, MATCH("dumpster_rental", 'Pricing DB'!$A$140:$A$167, 0))</f>
        <v/>
      </c>
      <c r="E56" s="60">
        <f>B56*D56</f>
        <v/>
      </c>
      <c r="F56" s="37" t="inlineStr">
        <is>
          <t>On-site dumpster for demo debris and offcuts; bigger for full tear-out</t>
        </is>
      </c>
    </row>
    <row r="57">
      <c r="A57" s="8" t="inlineStr">
        <is>
          <t>Fortress Evolution steel framing system</t>
        </is>
      </c>
      <c r="B57" s="33">
        <f>IF(AND(INDEX('Project Type Behavior'!$C$4:$C$10, MATCH('Quote Input'!B13, 'Project Type Behavior'!$A$4:$A$10, 0))="Y", 'Quote Input'!B23="Steel (Fortress Evolution)"), 'Quote Input'!B18, 0)</f>
        <v/>
      </c>
      <c r="C57" s="34" t="inlineStr">
        <is>
          <t>SF</t>
        </is>
      </c>
      <c r="D57" s="59">
        <f>INDEX('Pricing DB'!$D$140:$D$167, MATCH("steel_framing_per_sf", 'Pricing DB'!$A$140:$A$167, 0))</f>
        <v/>
      </c>
      <c r="E57" s="60">
        <f>B57*D57</f>
        <v/>
      </c>
      <c r="F57" s="37" t="inlineStr">
        <is>
          <t>REPLACES rows 17-20 lumber when steel framing is selected; those wood rows will show 0 in that case</t>
        </is>
      </c>
    </row>
    <row r="59" ht="22" customHeight="1">
      <c r="A59" s="7" t="inlineStr">
        <is>
          <t>TOTAL MATERIALS COST</t>
        </is>
      </c>
    </row>
    <row r="60">
      <c r="A60" s="38" t="inlineStr">
        <is>
          <t>Estimated materials cost (Menards Wausau + supplier prices):</t>
        </is>
      </c>
      <c r="E60" s="61">
        <f>SUM(E10:E57)</f>
        <v/>
      </c>
    </row>
    <row r="61" ht="32" customHeight="1">
      <c r="A61" s="40" t="inlineStr">
        <is>
          <t>Note: this is the materials shopping list only. Labor, overhead, and gross margin are computed separately in the Quote Input tab. Materials cost / Quote Sell Price gives a rough materials ratio.</t>
        </is>
      </c>
    </row>
  </sheetData>
  <mergeCells count="15">
    <mergeCell ref="B4:F4"/>
    <mergeCell ref="A2:F2"/>
    <mergeCell ref="A49:F49"/>
    <mergeCell ref="A54:F54"/>
    <mergeCell ref="A42:F42"/>
    <mergeCell ref="B6:F6"/>
    <mergeCell ref="A1:F1"/>
    <mergeCell ref="B5:F5"/>
    <mergeCell ref="A8:F8"/>
    <mergeCell ref="A31:F31"/>
    <mergeCell ref="A61:F61"/>
    <mergeCell ref="A60:D60"/>
    <mergeCell ref="A15:F15"/>
    <mergeCell ref="A59:F59"/>
    <mergeCell ref="A25:F25"/>
  </mergeCells>
  <conditionalFormatting sqref="A10:F10">
    <cfRule type="expression" priority="1" dxfId="0">
      <formula>$B10=0</formula>
    </cfRule>
  </conditionalFormatting>
  <conditionalFormatting sqref="A11:F11">
    <cfRule type="expression" priority="2" dxfId="0">
      <formula>$B11=0</formula>
    </cfRule>
  </conditionalFormatting>
  <conditionalFormatting sqref="A12:F12">
    <cfRule type="expression" priority="3" dxfId="0">
      <formula>$B12=0</formula>
    </cfRule>
  </conditionalFormatting>
  <conditionalFormatting sqref="A13:F13">
    <cfRule type="expression" priority="4" dxfId="0">
      <formula>$B13=0</formula>
    </cfRule>
  </conditionalFormatting>
  <conditionalFormatting sqref="A17:F17">
    <cfRule type="expression" priority="5" dxfId="0">
      <formula>$B17=0</formula>
    </cfRule>
  </conditionalFormatting>
  <conditionalFormatting sqref="A18:F18">
    <cfRule type="expression" priority="6" dxfId="0">
      <formula>$B18=0</formula>
    </cfRule>
  </conditionalFormatting>
  <conditionalFormatting sqref="A19:F19">
    <cfRule type="expression" priority="7" dxfId="0">
      <formula>$B19=0</formula>
    </cfRule>
  </conditionalFormatting>
  <conditionalFormatting sqref="A20:F20">
    <cfRule type="expression" priority="8" dxfId="0">
      <formula>$B20=0</formula>
    </cfRule>
  </conditionalFormatting>
  <conditionalFormatting sqref="A21:F21">
    <cfRule type="expression" priority="9" dxfId="0">
      <formula>$B21=0</formula>
    </cfRule>
  </conditionalFormatting>
  <conditionalFormatting sqref="A22:F22">
    <cfRule type="expression" priority="10" dxfId="0">
      <formula>$B22=0</formula>
    </cfRule>
  </conditionalFormatting>
  <conditionalFormatting sqref="A23:F23">
    <cfRule type="expression" priority="11" dxfId="0">
      <formula>$B23=0</formula>
    </cfRule>
  </conditionalFormatting>
  <conditionalFormatting sqref="A27:F27">
    <cfRule type="expression" priority="12" dxfId="0">
      <formula>$B27=0</formula>
    </cfRule>
  </conditionalFormatting>
  <conditionalFormatting sqref="A28:F28">
    <cfRule type="expression" priority="13" dxfId="0">
      <formula>$B28=0</formula>
    </cfRule>
  </conditionalFormatting>
  <conditionalFormatting sqref="A29:F29">
    <cfRule type="expression" priority="14" dxfId="0">
      <formula>$B29=0</formula>
    </cfRule>
  </conditionalFormatting>
  <conditionalFormatting sqref="A33:F33">
    <cfRule type="expression" priority="15" dxfId="0">
      <formula>$B33=0</formula>
    </cfRule>
  </conditionalFormatting>
  <conditionalFormatting sqref="A34:F34">
    <cfRule type="expression" priority="16" dxfId="0">
      <formula>$B34=0</formula>
    </cfRule>
  </conditionalFormatting>
  <conditionalFormatting sqref="A35:F35">
    <cfRule type="expression" priority="17" dxfId="0">
      <formula>$B35=0</formula>
    </cfRule>
  </conditionalFormatting>
  <conditionalFormatting sqref="A36:F36">
    <cfRule type="expression" priority="18" dxfId="0">
      <formula>$B36=0</formula>
    </cfRule>
  </conditionalFormatting>
  <conditionalFormatting sqref="A37:F37">
    <cfRule type="expression" priority="19" dxfId="0">
      <formula>$B37=0</formula>
    </cfRule>
  </conditionalFormatting>
  <conditionalFormatting sqref="A38:F38">
    <cfRule type="expression" priority="20" dxfId="0">
      <formula>$B38=0</formula>
    </cfRule>
  </conditionalFormatting>
  <conditionalFormatting sqref="A39:F39">
    <cfRule type="expression" priority="21" dxfId="0">
      <formula>$B39=0</formula>
    </cfRule>
  </conditionalFormatting>
  <conditionalFormatting sqref="A40:F40">
    <cfRule type="expression" priority="22" dxfId="0">
      <formula>$B40=0</formula>
    </cfRule>
  </conditionalFormatting>
  <conditionalFormatting sqref="A44:F44">
    <cfRule type="expression" priority="23" dxfId="0">
      <formula>$B44=0</formula>
    </cfRule>
  </conditionalFormatting>
  <conditionalFormatting sqref="A45:F45">
    <cfRule type="expression" priority="24" dxfId="0">
      <formula>$B45=0</formula>
    </cfRule>
  </conditionalFormatting>
  <conditionalFormatting sqref="A46:F46">
    <cfRule type="expression" priority="25" dxfId="0">
      <formula>$B46=0</formula>
    </cfRule>
  </conditionalFormatting>
  <conditionalFormatting sqref="A47:F47">
    <cfRule type="expression" priority="26" dxfId="0">
      <formula>$B47=0</formula>
    </cfRule>
  </conditionalFormatting>
  <conditionalFormatting sqref="A51:F51">
    <cfRule type="expression" priority="27" dxfId="0">
      <formula>$B51=0</formula>
    </cfRule>
  </conditionalFormatting>
  <conditionalFormatting sqref="A52:F52">
    <cfRule type="expression" priority="28" dxfId="0">
      <formula>$B52=0</formula>
    </cfRule>
  </conditionalFormatting>
  <conditionalFormatting sqref="A56:F56">
    <cfRule type="expression" priority="29" dxfId="0">
      <formula>$B56=0</formula>
    </cfRule>
  </conditionalFormatting>
  <conditionalFormatting sqref="A57:F57">
    <cfRule type="expression" priority="30" dxfId="0">
      <formula>$B57=0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54C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Estimate Summary</t>
        </is>
      </c>
    </row>
    <row r="2">
      <c r="A2" s="24" t="inlineStr">
        <is>
          <t>Three-tier comparison for new-deck projects. Single-tier summary for stain/repair jobs.</t>
        </is>
      </c>
    </row>
    <row r="4" ht="22" customHeight="1">
      <c r="A4" s="7" t="inlineStr">
        <is>
          <t>Project</t>
        </is>
      </c>
    </row>
    <row r="5">
      <c r="A5" s="8" t="inlineStr">
        <is>
          <t>Client</t>
        </is>
      </c>
      <c r="B5">
        <f>'Quote Input'!B7</f>
        <v/>
      </c>
    </row>
    <row r="6">
      <c r="A6" s="8" t="inlineStr">
        <is>
          <t>Address</t>
        </is>
      </c>
      <c r="B6">
        <f>'Quote Input'!B8</f>
        <v/>
      </c>
    </row>
    <row r="7">
      <c r="A7" s="8" t="inlineStr">
        <is>
          <t>Project Type</t>
        </is>
      </c>
      <c r="B7">
        <f>'Quote Input'!B13</f>
        <v/>
      </c>
    </row>
    <row r="8">
      <c r="A8" s="8" t="inlineStr">
        <is>
          <t>Deck SF</t>
        </is>
      </c>
      <c r="B8">
        <f>'Quote Input'!B18</f>
        <v/>
      </c>
    </row>
    <row r="9">
      <c r="A9" s="8" t="inlineStr">
        <is>
          <t>Selected Decking</t>
        </is>
      </c>
      <c r="B9">
        <f>'Quote Input'!B21</f>
        <v/>
      </c>
    </row>
    <row r="11" ht="22" customHeight="1">
      <c r="A11" s="7" t="inlineStr">
        <is>
          <t>Three-Tier Decking Comparison (composite only)</t>
        </is>
      </c>
    </row>
    <row r="12">
      <c r="A12" s="25" t="inlineStr">
        <is>
          <t>Decking</t>
        </is>
      </c>
      <c r="B12" s="25" t="inlineStr">
        <is>
          <t>Decking $/SF</t>
        </is>
      </c>
      <c r="C12" s="25" t="inlineStr">
        <is>
          <t>Waste</t>
        </is>
      </c>
      <c r="D12" s="25" t="inlineStr">
        <is>
          <t>Base Package</t>
        </is>
      </c>
      <c r="E12" s="25" t="inlineStr">
        <is>
          <t>Adders (shared)</t>
        </is>
      </c>
      <c r="F12" s="25" t="inlineStr">
        <is>
          <t>Subtotal</t>
        </is>
      </c>
      <c r="G12" s="25" t="inlineStr">
        <is>
          <t>Sell Price</t>
        </is>
      </c>
      <c r="H12" s="25" t="inlineStr">
        <is>
          <t>Range</t>
        </is>
      </c>
    </row>
    <row r="13">
      <c r="A13" s="26" t="inlineStr">
        <is>
          <t>Trex Enhance</t>
        </is>
      </c>
      <c r="B13" s="62">
        <f>IFERROR(INDEX('Pricing DB'!$B$7:$B$19, MATCH("Trex Enhance", 'Pricing DB'!$A$7:$A$19, 0)), 0)</f>
        <v/>
      </c>
      <c r="C13" s="63">
        <f>IFERROR(INDEX('Pricing DB'!$D$7:$D$19, MATCH("Trex Enhance", 'Pricing DB'!$A$7:$A$19, 0)), 0)</f>
        <v/>
      </c>
      <c r="D13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Enhance", 'Pricing DB'!$A$7:$A$19, 0)), 0)*(1+IFERROR(INDEX('Pricing DB'!$D$7:$D$19, MATCH("Trex Enhance", 'Pricing DB'!$A$7:$A$19, 0)), 0)), 0))*'Quote Input'!E17</f>
        <v/>
      </c>
      <c r="E13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3" s="64">
        <f>D13+E13</f>
        <v/>
      </c>
      <c r="G13" s="65">
        <f>F13/(1-'Quote Input'!B64)</f>
        <v/>
      </c>
      <c r="H13">
        <f>TEXT(G13*(1-'Quote Input'!B65),"$#,##0")&amp;" - "&amp;TEXT(G13*(1+'Quote Input'!B65),"$#,##0")</f>
        <v/>
      </c>
    </row>
    <row r="14">
      <c r="A14" s="26" t="inlineStr">
        <is>
          <t>Trex Select</t>
        </is>
      </c>
      <c r="B14" s="62">
        <f>IFERROR(INDEX('Pricing DB'!$B$7:$B$19, MATCH("Trex Select", 'Pricing DB'!$A$7:$A$19, 0)), 0)</f>
        <v/>
      </c>
      <c r="C14" s="63">
        <f>IFERROR(INDEX('Pricing DB'!$D$7:$D$19, MATCH("Trex Select", 'Pricing DB'!$A$7:$A$19, 0)), 0)</f>
        <v/>
      </c>
      <c r="D14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Select", 'Pricing DB'!$A$7:$A$19, 0)), 0)*(1+IFERROR(INDEX('Pricing DB'!$D$7:$D$19, MATCH("Trex Select", 'Pricing DB'!$A$7:$A$19, 0)), 0)), 0))*'Quote Input'!E17</f>
        <v/>
      </c>
      <c r="E14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4" s="64">
        <f>D14+E14</f>
        <v/>
      </c>
      <c r="G14" s="65">
        <f>F14/(1-'Quote Input'!B64)</f>
        <v/>
      </c>
      <c r="H14">
        <f>TEXT(G14*(1-'Quote Input'!B65),"$#,##0")&amp;" - "&amp;TEXT(G14*(1+'Quote Input'!B65),"$#,##0")</f>
        <v/>
      </c>
    </row>
    <row r="15">
      <c r="A15" s="26" t="inlineStr">
        <is>
          <t>Trex Transcend</t>
        </is>
      </c>
      <c r="B15" s="62">
        <f>IFERROR(INDEX('Pricing DB'!$B$7:$B$19, MATCH("Trex Transcend", 'Pricing DB'!$A$7:$A$19, 0)), 0)</f>
        <v/>
      </c>
      <c r="C15" s="63">
        <f>IFERROR(INDEX('Pricing DB'!$D$7:$D$19, MATCH("Trex Transcend", 'Pricing DB'!$A$7:$A$19, 0)), 0)</f>
        <v/>
      </c>
      <c r="D15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Transcend", 'Pricing DB'!$A$7:$A$19, 0)), 0)*(1+IFERROR(INDEX('Pricing DB'!$D$7:$D$19, MATCH("Trex Transcend", 'Pricing DB'!$A$7:$A$19, 0)), 0)), 0))*'Quote Input'!E17</f>
        <v/>
      </c>
      <c r="E15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5" s="64">
        <f>D15+E15</f>
        <v/>
      </c>
      <c r="G15" s="65">
        <f>F15/(1-'Quote Input'!B64)</f>
        <v/>
      </c>
      <c r="H15">
        <f>TEXT(G15*(1-'Quote Input'!B65),"$#,##0")&amp;" - "&amp;TEXT(G15*(1+'Quote Input'!B65),"$#,##0")</f>
        <v/>
      </c>
    </row>
    <row r="17" ht="22" customHeight="1">
      <c r="A17" s="7" t="inlineStr">
        <is>
          <t>Selected Quote (from Quote Input)</t>
        </is>
      </c>
    </row>
    <row r="18">
      <c r="A18" s="10" t="inlineStr">
        <is>
          <t>Sell Price</t>
        </is>
      </c>
      <c r="B18" s="66">
        <f>'Quote Input'!E40</f>
        <v/>
      </c>
    </row>
    <row r="19">
      <c r="A19" s="8" t="inlineStr">
        <is>
          <t>Range</t>
        </is>
      </c>
      <c r="B19">
        <f>TEXT('Quote Input'!E41,"$#,##0")&amp;" - "&amp;TEXT('Quote Input'!E42,"$#,##0")</f>
        <v/>
      </c>
    </row>
    <row r="20">
      <c r="A20" s="8" t="inlineStr">
        <is>
          <t>Subtotal Cost</t>
        </is>
      </c>
      <c r="B20" s="64">
        <f>'Quote Input'!E37</f>
        <v/>
      </c>
    </row>
    <row r="21">
      <c r="A21" s="8" t="inlineStr">
        <is>
          <t>Margin</t>
        </is>
      </c>
      <c r="B21" s="63">
        <f>'Quote Input'!B64</f>
        <v/>
      </c>
    </row>
  </sheetData>
  <mergeCells count="5">
    <mergeCell ref="A4:H4"/>
    <mergeCell ref="A2:H2"/>
    <mergeCell ref="A11:H11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B2C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Client-Facing Preliminary Range</t>
        </is>
      </c>
    </row>
    <row r="2">
      <c r="A2" s="24" t="inlineStr">
        <is>
          <t>Copy/paste the block below into a proposal email. All values reference Quote Input live.</t>
        </is>
      </c>
    </row>
    <row r="4" ht="22" customHeight="1">
      <c r="A4" s="7" t="inlineStr">
        <is>
          <t>Proposal Block</t>
        </is>
      </c>
    </row>
    <row r="5" ht="400" customHeight="1">
      <c r="A5" s="46">
        <f>"Dear "&amp;'Quote Input'!B7&amp;","&amp;CHAR(10)&amp;CHAR(10)&amp;"Thank you for the opportunity to quote your deck project. "&amp;"Based on the project scope at "&amp;'Quote Input'!B8&amp;", "&amp;"we estimate your preliminary investment range at:"&amp;CHAR(10)&amp;CHAR(10)&amp;TEXT('Quote Input'!E41,"$#,##0")&amp;" - "&amp;TEXT('Quote Input'!E42,"$#,##0")&amp;CHAR(10)&amp;CHAR(10)&amp;"Project type: "&amp;'Quote Input'!B13&amp;CHAR(10)&amp;"Approximate size: "&amp;'Quote Input'!B18&amp;" sq ft"&amp;CHAR(10)&amp;"Decking: "&amp;'Quote Input'!B21&amp;CHAR(10)&amp;"Railing: "&amp;'Quote Input'!B22&amp;CHAR(10)&amp;CHAR(10)&amp;"This is a preliminary range based on stated scope. A firm fixed-"&amp;"price quote will follow site inspection and final scope review. "&amp;"Pricing assumes standard site access and conditions; engineering, "&amp;"permits, and unusual site conditions may adjust final pricing."&amp;CHAR(10)&amp;CHAR(10)&amp;"James Slogar, Owner"&amp;CHAR(10)&amp;"Central Wisconsin Deck Builders, LLC"&amp;CHAR(10)&amp;"(715) 544-7941  ·  cwdeckbuilders.com"</f>
        <v/>
      </c>
    </row>
  </sheetData>
  <mergeCells count="1">
    <mergeCell ref="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676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Scope Boilerplate by Project Type</t>
        </is>
      </c>
    </row>
    <row r="2">
      <c r="A2" s="24" t="inlineStr">
        <is>
          <t>Standard scope, included, and excluded items by project type. Copy into your client proposal as appropriate.</t>
        </is>
      </c>
    </row>
    <row r="4" ht="22" customHeight="1">
      <c r="A4" s="47" t="inlineStr">
        <is>
          <t>Stain Only</t>
        </is>
      </c>
    </row>
    <row r="5" ht="117" customHeight="1">
      <c r="A5" s="48" t="inlineStr">
        <is>
          <t>Scope of Work</t>
        </is>
      </c>
      <c r="B5" s="46" t="inlineStr">
        <is>
          <t>Wash, sand rough spots, set raised fasteners, apply selected stain product to deck floor, railings, and stairs as specified. Move and protect homeowner furniture; cover landscaping and siding. Final touch-ups and full job-site cleanup.</t>
        </is>
      </c>
    </row>
    <row r="6" ht="88" customHeight="1">
      <c r="A6" s="48" t="inlineStr">
        <is>
          <t>Included</t>
        </is>
      </c>
      <c r="B6" s="46" t="inlineStr">
        <is>
          <t>All materials (stain, brushes, rollers, pads, sandpaper, drop cloths, masking). All labor. Site protection. 1-year limited workmanship warranty against premature finish failure.</t>
        </is>
      </c>
    </row>
    <row r="7" ht="102" customHeight="1">
      <c r="A7" s="48" t="inlineStr">
        <is>
          <t>Not Included</t>
        </is>
      </c>
      <c r="B7" s="46" t="inlineStr">
        <is>
          <t>Repair or replacement of damaged or rotted boards. Hardware replacement beyond setting existing fasteners. Structural repairs. Refinishing of pergolas, gazebos, or attached fences unless added in writing.</t>
        </is>
      </c>
    </row>
    <row r="9" ht="22" customHeight="1">
      <c r="A9" s="47" t="inlineStr">
        <is>
          <t>Stain + Minor Repairs</t>
        </is>
      </c>
    </row>
    <row r="10" ht="104" customHeight="1">
      <c r="A10" s="48" t="inlineStr">
        <is>
          <t>Scope of Work</t>
        </is>
      </c>
      <c r="B10" s="46" t="inlineStr">
        <is>
          <t>Stain Only scope plus targeted repairs: replace damaged deck boards (count specified), sister or repair compromised joists (LF specified), replace failed hardware as needed. Repairs completed before staining.</t>
        </is>
      </c>
    </row>
    <row r="11" ht="89" customHeight="1">
      <c r="A11" s="48" t="inlineStr">
        <is>
          <t>Included</t>
        </is>
      </c>
      <c r="B11" s="46" t="inlineStr">
        <is>
          <t>Stain Only includes plus: repair-grade replacement boards, joist sister lumber, fasteners, hidden hardware as needed. Labor for repairs included. Same 1-year workmanship warranty.</t>
        </is>
      </c>
    </row>
    <row r="12" ht="54" customHeight="1">
      <c r="A12" s="48" t="inlineStr">
        <is>
          <t>Not Included</t>
        </is>
      </c>
      <c r="B12" s="46" t="inlineStr">
        <is>
          <t>Wholesale frame replacement (use Frame + Deck Rebuild). New footings. Code upgrades beyond the repair scope.</t>
        </is>
      </c>
    </row>
    <row r="14" ht="22" customHeight="1">
      <c r="A14" s="47" t="inlineStr">
        <is>
          <t>Resurface (Boards Only)</t>
        </is>
      </c>
    </row>
    <row r="15" ht="103" customHeight="1">
      <c r="A15" s="48" t="inlineStr">
        <is>
          <t>Scope of Work</t>
        </is>
      </c>
      <c r="B15" s="46" t="inlineStr">
        <is>
          <t>Remove existing deck boards. Inspect frame for soundness (replace failed joists/beams as flagged). Install new deck boards in selected material with hidden fasteners. Refresh railings and stairs as elected.</t>
        </is>
      </c>
    </row>
    <row r="16" ht="102" customHeight="1">
      <c r="A16" s="48" t="inlineStr">
        <is>
          <t>Included</t>
        </is>
      </c>
      <c r="B16" s="46" t="inlineStr">
        <is>
          <t>All new decking material, hidden fasteners, fascia (if specified). Frame inspection allowance. Labor for tear-off and install. Cleanup and disposal of old boards. 5-year workmanship warranty on new boards.</t>
        </is>
      </c>
    </row>
    <row r="17" ht="61" customHeight="1">
      <c r="A17" s="48" t="inlineStr">
        <is>
          <t>Not Included</t>
        </is>
      </c>
      <c r="B17" s="46" t="inlineStr">
        <is>
          <t>Major frame replacement (quoted separately if uncovered during inspection). New footings. Code-driven structural upgrades.</t>
        </is>
      </c>
    </row>
    <row r="19" ht="22" customHeight="1">
      <c r="A19" s="47" t="inlineStr">
        <is>
          <t>Frame + Deck Rebuild (Keep Footings)</t>
        </is>
      </c>
    </row>
    <row r="20" ht="110" customHeight="1">
      <c r="A20" s="48" t="inlineStr">
        <is>
          <t>Scope of Work</t>
        </is>
      </c>
      <c r="B20" s="46" t="inlineStr">
        <is>
          <t>Remove existing deck and frame down to footings. Inspect footings for soundness. Build new code-compliant frame with selected framing material. Install new deck boards, railings, stairs, and fascia in selected materials.</t>
        </is>
      </c>
    </row>
    <row r="21" ht="99" customHeight="1">
      <c r="A21" s="48" t="inlineStr">
        <is>
          <t>Included</t>
        </is>
      </c>
      <c r="B21" s="46" t="inlineStr">
        <is>
          <t>All new framing material (joists, beams, ledger, hangers, hardware). All new decking, railings, stairs. Permit and engineering allowance. Demo and disposal. 10-year workmanship warranty on structure.</t>
        </is>
      </c>
    </row>
    <row r="22" ht="88" customHeight="1">
      <c r="A22" s="48" t="inlineStr">
        <is>
          <t>Not Included</t>
        </is>
      </c>
      <c r="B22" s="46" t="inlineStr">
        <is>
          <t>New footings (quoted separately if uncovered as inadequate during inspection). Landscape restoration beyond the deck footprint. Electrical, plumbing, or hot tub utility hookups.</t>
        </is>
      </c>
    </row>
    <row r="24" ht="22" customHeight="1">
      <c r="A24" s="47" t="inlineStr">
        <is>
          <t>Full Tear-Out + New Build</t>
        </is>
      </c>
    </row>
    <row r="25" ht="112" customHeight="1">
      <c r="A25" s="48" t="inlineStr">
        <is>
          <t>Scope of Work</t>
        </is>
      </c>
      <c r="B25" s="46" t="inlineStr">
        <is>
          <t>Complete demolition of existing deck, frame, and footings. Layout and install new code-compliant footings. Build new frame, deck, railings, stairs, and fascia in selected materials. Final inspection and homeowner walkthrough.</t>
        </is>
      </c>
    </row>
    <row r="26" ht="123" customHeight="1">
      <c r="A26" s="48" t="inlineStr">
        <is>
          <t>Included</t>
        </is>
      </c>
      <c r="B26" s="46" t="inlineStr">
        <is>
          <t>Permit and engineering allowance. All footings, framing, decking, railings, stairs. Demo and full disposal. Site protection. Final walkthrough. 10-year workmanship warranty on structure. Manufacturer warranties pass through on decking and railing.</t>
        </is>
      </c>
    </row>
    <row r="27" ht="81" customHeight="1">
      <c r="A27" s="48" t="inlineStr">
        <is>
          <t>Not Included</t>
        </is>
      </c>
      <c r="B27" s="46" t="inlineStr">
        <is>
          <t>Landscape restoration beyond the deck footprint. Electrical, plumbing, or hot tub utility hookups. Pergolas, screens, or outdoor kitchens unless added in writing.</t>
        </is>
      </c>
    </row>
  </sheetData>
  <mergeCells count="7">
    <mergeCell ref="A4:B4"/>
    <mergeCell ref="A24:B24"/>
    <mergeCell ref="A2:B2"/>
    <mergeCell ref="A19:B19"/>
    <mergeCell ref="A14:B14"/>
    <mergeCell ref="A1:B1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676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Notes &amp; Usage Guide</t>
        </is>
      </c>
    </row>
    <row r="3">
      <c r="A3" s="46" t="inlineStr">
        <is>
          <t>As-of date: 2026-05-28</t>
        </is>
      </c>
    </row>
    <row r="4">
      <c r="A4" s="46" t="inlineStr">
        <is>
          <t>Schema version: 1.0</t>
        </is>
      </c>
    </row>
    <row r="5">
      <c r="A5" s="46" t="inlineStr">
        <is>
          <t>Source data: sales/estimating/pricing-db.json</t>
        </is>
      </c>
    </row>
    <row r="6">
      <c r="A6" s="46" t="inlineStr">
        <is>
          <t>Regenerate workbook: python build_estimator_workbook.py</t>
        </is>
      </c>
    </row>
    <row r="7">
      <c r="A7" s="46" t="inlineStr"/>
    </row>
    <row r="8">
      <c r="A8" s="48" t="inlineStr">
        <is>
          <t>How to use</t>
        </is>
      </c>
    </row>
    <row r="9">
      <c r="A9" s="46" t="inlineStr">
        <is>
          <t>1.: Open the Quote Input sheet. Fill yellow cells from top to bottom.</t>
        </is>
      </c>
    </row>
    <row r="10" ht="30" customHeight="1">
      <c r="A10" s="46" t="inlineStr">
        <is>
          <t>2.: Select Project Type first. The engine adjusts what gets included/excluded based on the matrix in 'Project Type Behavior'.</t>
        </is>
      </c>
    </row>
    <row r="11">
      <c r="A11" s="46" t="inlineStr">
        <is>
          <t>3.: The big sell price at the top of Quote Input updates live as you edit inputs.</t>
        </is>
      </c>
    </row>
    <row r="12">
      <c r="A12" s="46" t="inlineStr">
        <is>
          <t>4.: For client proposals, copy the formatted block from the 'Client Range' sheet.</t>
        </is>
      </c>
    </row>
    <row r="13" ht="30" customHeight="1">
      <c r="A13" s="46" t="inlineStr">
        <is>
          <t>5.: For scope language by project type, use 'Scope Builder' to copy the appropriate blocks.</t>
        </is>
      </c>
    </row>
    <row r="14">
      <c r="A14" s="46" t="inlineStr"/>
    </row>
    <row r="15">
      <c r="A15" s="48" t="inlineStr">
        <is>
          <t>Pricing updates</t>
        </is>
      </c>
    </row>
    <row r="16">
      <c r="A16" s="46" t="inlineStr">
        <is>
          <t>To change a price: Edit yellow cells on Pricing DB sheet, OR edit pricing-db.json and regenerate.</t>
        </is>
      </c>
    </row>
    <row r="17">
      <c r="A17" s="46" t="inlineStr">
        <is>
          <t>Quarterly review: Re-pull Menards Wausau prices every quarter. Cedar is especially volatile.</t>
        </is>
      </c>
    </row>
    <row r="18">
      <c r="A18" s="46" t="inlineStr"/>
    </row>
    <row r="19">
      <c r="A19" s="48" t="inlineStr">
        <is>
          <t>Math reminders</t>
        </is>
      </c>
    </row>
    <row r="20">
      <c r="A20" s="46" t="inlineStr">
        <is>
          <t>Margin vs markup: Sell Price = Cost / (1 - margin). 20% margin = Cost / 0.80.</t>
        </is>
      </c>
    </row>
    <row r="21">
      <c r="A21" s="46" t="inlineStr">
        <is>
          <t>Multipliers: Chained as a product. 1.22 height x 1.10 grade = 1.342 combined.</t>
        </is>
      </c>
    </row>
    <row r="22" ht="30" customHeight="1">
      <c r="A22" s="46" t="inlineStr">
        <is>
          <t>Project type matrix: Y = always include; N = always exclude; OPT = include if user enters non-zero; 'Inspect' = use inspection allowance; 'Light' = use Height + Grade multipliers only.</t>
        </is>
      </c>
    </row>
    <row r="23">
      <c r="A23" s="46" t="inlineStr"/>
    </row>
    <row r="24">
      <c r="A24" s="48" t="inlineStr">
        <is>
          <t>Bug fixes from inherited tool</t>
        </is>
      </c>
    </row>
    <row r="25" ht="30" customHeight="1">
      <c r="A25" s="46" t="inlineStr">
        <is>
          <t>E28-E31 fixed: John's original workbook had E28/E29/E30/E31 (sell price + low/high range + per-SF) referencing the wrong source cell. CWDB v1 fixes these by computing from explicit SUBTOTAL.</t>
        </is>
      </c>
    </row>
    <row r="26" ht="30" customHeight="1">
      <c r="A26" s="46" t="inlineStr">
        <is>
          <t>Adder lookups fixed: John's original used hard-coded strings ('Deck Lighting') in INDEX/MATCH formulas. CWDB v1 uses keyed lookups against an editable adder table.</t>
        </is>
      </c>
    </row>
    <row r="27" ht="30" customHeight="1">
      <c r="A27" s="46" t="inlineStr">
        <is>
          <t>Waste applied to decking only: John applied waste % to combined framing+decking. CWDB v1 applies waste only to decking material (framing is precise; no waste).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2026-06-16T04:29:04Z</dcterms:created>
  <dcterms:modified xmlns:dcterms="http://purl.org/dc/terms/" xmlns:xsi="http://www.w3.org/2001/XMLSchema-instance" xsi:type="dcterms:W3CDTF">2026-06-18T19:01:51Z</dcterms:modified>
</cp:coreProperties>
</file>